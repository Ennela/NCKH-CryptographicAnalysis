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 qua chi tiet" sheetId="1" state="visible" r:id="rId1"/>
    <sheet xmlns:r="http://schemas.openxmlformats.org/officeDocument/2006/relationships" name="Tong hop theo ma" sheetId="2" state="visible" r:id="rId2"/>
    <sheet xmlns:r="http://schemas.openxmlformats.org/officeDocument/2006/relationships" name="ACB 1d vs 07-2026" sheetId="3" state="visible" r:id="rId3"/>
    <sheet xmlns:r="http://schemas.openxmlformats.org/officeDocument/2006/relationships" name="Ghi chu" sheetId="4" state="visible" r:id="rId4"/>
  </sheets>
  <definedNames>
    <definedName name="_xlnm._FilterDatabase" localSheetId="0" hidden="1">'Ket qua chi tiet'!$A$1:$R$37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0"/>
    <numFmt numFmtId="165" formatCode="0.000"/>
    <numFmt numFmtId="166" formatCode="0.0000000000"/>
    <numFmt numFmtId="167" formatCode="0.000E+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166" fontId="2" fillId="0" borderId="1" pivotButton="0" quotePrefix="0" xfId="0"/>
    <xf numFmtId="167" fontId="2" fillId="0" borderId="1" pivotButton="0" quotePrefix="0" xfId="0"/>
    <xf numFmtId="0" fontId="4" fillId="0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BE5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14" customWidth="1" min="3" max="3"/>
    <col width="7" customWidth="1" min="4" max="4"/>
    <col width="11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2" customWidth="1" min="13" max="13"/>
    <col width="11" customWidth="1" min="14" max="14"/>
    <col width="34" customWidth="1" min="15" max="15"/>
    <col width="6" customWidth="1" min="16" max="16"/>
    <col width="11" customWidth="1" min="17" max="17"/>
    <col width="66" customWidth="1" min="18" max="18"/>
  </cols>
  <sheetData>
    <row r="1" ht="30" customHeight="1">
      <c r="A1" s="1" t="inlineStr">
        <is>
          <t>Mã</t>
        </is>
      </c>
      <c r="B1" s="1" t="inlineStr">
        <is>
          <t>Khung</t>
        </is>
      </c>
      <c r="C1" s="1" t="inlineStr">
        <is>
          <t>Mô hình</t>
        </is>
      </c>
      <c r="D1" s="1" t="inlineStr">
        <is>
          <t>n test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MAPE (%)</t>
        </is>
      </c>
      <c r="H1" s="1" t="inlineStr">
        <is>
          <t>Directional Acc.</t>
        </is>
      </c>
      <c r="I1" s="1" t="inlineStr">
        <is>
          <t>Naive MAE</t>
        </is>
      </c>
      <c r="J1" s="1" t="inlineStr">
        <is>
          <t>Naive RMSE</t>
        </is>
      </c>
      <c r="K1" s="1" t="inlineStr">
        <is>
          <t>Naive MAPE (%)</t>
        </is>
      </c>
      <c r="L1" s="1" t="inlineStr">
        <is>
          <t>Δ RMSE vs Naive (%)</t>
        </is>
      </c>
      <c r="M1" s="1" t="inlineStr">
        <is>
          <t>RMSE / Naive RMSE</t>
        </is>
      </c>
      <c r="N1" s="1" t="inlineStr">
        <is>
          <t>Xếp hạng trong mã</t>
        </is>
      </c>
      <c r="O1" s="1" t="inlineStr">
        <is>
          <t>MLflow run_id</t>
        </is>
      </c>
      <c r="P1" s="1" t="inlineStr">
        <is>
          <t>Seed</t>
        </is>
      </c>
      <c r="Q1" s="1" t="inlineStr">
        <is>
          <t>Trạng thái</t>
        </is>
      </c>
      <c r="R1" s="1" t="inlineStr">
        <is>
          <t>Test manifest SHA-256</t>
        </is>
      </c>
    </row>
    <row r="2">
      <c r="A2" s="2" t="inlineStr">
        <is>
          <t>ACB</t>
        </is>
      </c>
      <c r="B2" s="2" t="inlineStr">
        <is>
          <t>1d</t>
        </is>
      </c>
      <c r="C2" s="2" t="inlineStr">
        <is>
          <t>ARIMA</t>
        </is>
      </c>
      <c r="D2" s="2" t="n">
        <v>78</v>
      </c>
      <c r="E2" s="3" t="n">
        <v>0.2723486963730755</v>
      </c>
      <c r="F2" s="3" t="n">
        <v>0.388201911397677</v>
      </c>
      <c r="G2" s="4" t="n">
        <v>1.313585017523193</v>
      </c>
      <c r="H2" s="5" t="n">
        <v>0.5128205128205128</v>
      </c>
      <c r="I2" s="3" t="n">
        <v>0.2669230769230771</v>
      </c>
      <c r="J2" s="3" t="n">
        <v>0.3902169022085419</v>
      </c>
      <c r="K2" s="4" t="n">
        <v>1.288878380360589</v>
      </c>
      <c r="L2" s="4">
        <f>(J2-F2)/J2*100</f>
        <v/>
      </c>
      <c r="M2" s="5">
        <f>F2/J2</f>
        <v/>
      </c>
      <c r="N2" s="2">
        <f>COUNTIFS($A$2:$A$37,A2,$B$2:$B$37,B2,$F$2:$F$37,"&lt;"&amp;F2)+1</f>
        <v/>
      </c>
      <c r="O2" s="2" t="inlineStr">
        <is>
          <t>27237ab7dc3846e29edafc6551132ed8</t>
        </is>
      </c>
      <c r="P2" s="2" t="n">
        <v>42</v>
      </c>
      <c r="Q2" s="2" t="inlineStr">
        <is>
          <t>preliminary</t>
        </is>
      </c>
      <c r="R2" s="2" t="inlineStr">
        <is>
          <t>62d82e13b48f337623235e20c2412d435395fef46fea5a24776ea895d1c8b828</t>
        </is>
      </c>
    </row>
    <row r="3">
      <c r="A3" s="2" t="inlineStr">
        <is>
          <t>ACB</t>
        </is>
      </c>
      <c r="B3" s="2" t="inlineStr">
        <is>
          <t>1d</t>
        </is>
      </c>
      <c r="C3" s="2" t="inlineStr">
        <is>
          <t>XGBoost</t>
        </is>
      </c>
      <c r="D3" s="2" t="n">
        <v>78</v>
      </c>
      <c r="E3" s="3" t="n">
        <v>0.482620036785419</v>
      </c>
      <c r="F3" s="3" t="n">
        <v>0.6483500635961558</v>
      </c>
      <c r="G3" s="4" t="n">
        <v>2.28285187597391</v>
      </c>
      <c r="H3" s="5" t="n">
        <v>0.4871794871794871</v>
      </c>
      <c r="I3" s="3" t="n">
        <v>0.2669230769230771</v>
      </c>
      <c r="J3" s="3" t="n">
        <v>0.3902169022085419</v>
      </c>
      <c r="K3" s="4" t="n">
        <v>1.288878380360589</v>
      </c>
      <c r="L3" s="4">
        <f>(J3-F3)/J3*100</f>
        <v/>
      </c>
      <c r="M3" s="5">
        <f>F3/J3</f>
        <v/>
      </c>
      <c r="N3" s="2">
        <f>COUNTIFS($A$2:$A$37,A3,$B$2:$B$37,B3,$F$2:$F$37,"&lt;"&amp;F3)+1</f>
        <v/>
      </c>
      <c r="O3" s="2" t="inlineStr">
        <is>
          <t>15b4c474f1ec4a929662101f34466947</t>
        </is>
      </c>
      <c r="P3" s="2" t="n">
        <v>42</v>
      </c>
      <c r="Q3" s="2" t="inlineStr">
        <is>
          <t>preliminary</t>
        </is>
      </c>
      <c r="R3" s="2" t="inlineStr">
        <is>
          <t>62d82e13b48f337623235e20c2412d435395fef46fea5a24776ea895d1c8b828</t>
        </is>
      </c>
    </row>
    <row r="4">
      <c r="A4" s="2" t="inlineStr">
        <is>
          <t>ACB</t>
        </is>
      </c>
      <c r="B4" s="2" t="inlineStr">
        <is>
          <t>1d</t>
        </is>
      </c>
      <c r="C4" s="2" t="inlineStr">
        <is>
          <t>Random Forest</t>
        </is>
      </c>
      <c r="D4" s="2" t="n">
        <v>78</v>
      </c>
      <c r="E4" s="3" t="n">
        <v>0.5256917774782226</v>
      </c>
      <c r="F4" s="3" t="n">
        <v>0.6368350104288932</v>
      </c>
      <c r="G4" s="4" t="n">
        <v>2.573342279961495</v>
      </c>
      <c r="H4" s="5" t="n">
        <v>0.3846153846153846</v>
      </c>
      <c r="I4" s="3" t="n">
        <v>0.2669230769230771</v>
      </c>
      <c r="J4" s="3" t="n">
        <v>0.3902169022085419</v>
      </c>
      <c r="K4" s="4" t="n">
        <v>1.288878380360589</v>
      </c>
      <c r="L4" s="4">
        <f>(J4-F4)/J4*100</f>
        <v/>
      </c>
      <c r="M4" s="5">
        <f>F4/J4</f>
        <v/>
      </c>
      <c r="N4" s="2">
        <f>COUNTIFS($A$2:$A$37,A4,$B$2:$B$37,B4,$F$2:$F$37,"&lt;"&amp;F4)+1</f>
        <v/>
      </c>
      <c r="O4" s="2" t="inlineStr">
        <is>
          <t>a9916b77672e4437996a1ce165c5a003</t>
        </is>
      </c>
      <c r="P4" s="2" t="n">
        <v>42</v>
      </c>
      <c r="Q4" s="2" t="inlineStr">
        <is>
          <t>preliminary</t>
        </is>
      </c>
      <c r="R4" s="2" t="inlineStr">
        <is>
          <t>62d82e13b48f337623235e20c2412d435395fef46fea5a24776ea895d1c8b828</t>
        </is>
      </c>
    </row>
    <row r="5">
      <c r="A5" s="2" t="inlineStr">
        <is>
          <t>ACB</t>
        </is>
      </c>
      <c r="B5" s="2" t="inlineStr">
        <is>
          <t>1d</t>
        </is>
      </c>
      <c r="C5" s="2" t="inlineStr">
        <is>
          <t>GRU v2</t>
        </is>
      </c>
      <c r="D5" s="2" t="n">
        <v>78</v>
      </c>
      <c r="E5" s="3" t="n">
        <v>0.2678177063587382</v>
      </c>
      <c r="F5" s="3" t="n">
        <v>0.3873986249831136</v>
      </c>
      <c r="G5" s="4" t="n">
        <v>1.292921979609635</v>
      </c>
      <c r="H5" s="5" t="n">
        <v>0.5512820512820513</v>
      </c>
      <c r="I5" s="3" t="n">
        <v>0.2669230769230771</v>
      </c>
      <c r="J5" s="3" t="n">
        <v>0.3902169022085419</v>
      </c>
      <c r="K5" s="4" t="n">
        <v>1.288878380360589</v>
      </c>
      <c r="L5" s="4">
        <f>(J5-F5)/J5*100</f>
        <v/>
      </c>
      <c r="M5" s="5">
        <f>F5/J5</f>
        <v/>
      </c>
      <c r="N5" s="2">
        <f>COUNTIFS($A$2:$A$37,A5,$B$2:$B$37,B5,$F$2:$F$37,"&lt;"&amp;F5)+1</f>
        <v/>
      </c>
      <c r="O5" s="2" t="inlineStr">
        <is>
          <t>3cec04baa8c646e9a15f788abd7b2490</t>
        </is>
      </c>
      <c r="P5" s="2" t="n">
        <v>42</v>
      </c>
      <c r="Q5" s="2" t="inlineStr">
        <is>
          <t>preliminary</t>
        </is>
      </c>
      <c r="R5" s="2" t="inlineStr">
        <is>
          <t>62d82e13b48f337623235e20c2412d435395fef46fea5a24776ea895d1c8b828</t>
        </is>
      </c>
    </row>
    <row r="6">
      <c r="A6" s="2" t="inlineStr">
        <is>
          <t>FPT</t>
        </is>
      </c>
      <c r="B6" s="2" t="inlineStr">
        <is>
          <t>1d</t>
        </is>
      </c>
      <c r="C6" s="2" t="inlineStr">
        <is>
          <t>ARIMA</t>
        </is>
      </c>
      <c r="D6" s="2" t="n">
        <v>78</v>
      </c>
      <c r="E6" s="3" t="n">
        <v>1.206117307716647</v>
      </c>
      <c r="F6" s="3" t="n">
        <v>1.586835200755414</v>
      </c>
      <c r="G6" s="4" t="n">
        <v>1.62277844236827</v>
      </c>
      <c r="H6" s="5" t="n">
        <v>0.5256410256410257</v>
      </c>
      <c r="I6" s="3" t="n">
        <v>1.201410256410256</v>
      </c>
      <c r="J6" s="3" t="n">
        <v>1.578471753603173</v>
      </c>
      <c r="K6" s="4" t="n">
        <v>1.616184553702718</v>
      </c>
      <c r="L6" s="4">
        <f>(J6-F6)/J6*100</f>
        <v/>
      </c>
      <c r="M6" s="5">
        <f>F6/J6</f>
        <v/>
      </c>
      <c r="N6" s="2">
        <f>COUNTIFS($A$2:$A$37,A6,$B$2:$B$37,B6,$F$2:$F$37,"&lt;"&amp;F6)+1</f>
        <v/>
      </c>
      <c r="O6" s="2" t="inlineStr">
        <is>
          <t>1a8a52be5e454186927ceb7e9f48bfee</t>
        </is>
      </c>
      <c r="P6" s="2" t="n">
        <v>42</v>
      </c>
      <c r="Q6" s="2" t="inlineStr">
        <is>
          <t>preliminary</t>
        </is>
      </c>
      <c r="R6" s="2" t="inlineStr">
        <is>
          <t>48f7c13e01d7274ff1cfba435d1f76b878c273a66e89de72b7f447d7a366c518</t>
        </is>
      </c>
    </row>
    <row r="7">
      <c r="A7" s="2" t="inlineStr">
        <is>
          <t>FPT</t>
        </is>
      </c>
      <c r="B7" s="2" t="inlineStr">
        <is>
          <t>1d</t>
        </is>
      </c>
      <c r="C7" s="2" t="inlineStr">
        <is>
          <t>XGBoost</t>
        </is>
      </c>
      <c r="D7" s="2" t="n">
        <v>78</v>
      </c>
      <c r="E7" s="3" t="n">
        <v>19.31580818371896</v>
      </c>
      <c r="F7" s="3" t="n">
        <v>19.58879635403859</v>
      </c>
      <c r="G7" s="4" t="n">
        <v>26.31481454997807</v>
      </c>
      <c r="H7" s="5" t="n">
        <v>0.4230769230769231</v>
      </c>
      <c r="I7" s="3" t="n">
        <v>1.201410256410256</v>
      </c>
      <c r="J7" s="3" t="n">
        <v>1.578471753603173</v>
      </c>
      <c r="K7" s="4" t="n">
        <v>1.616184553702718</v>
      </c>
      <c r="L7" s="4">
        <f>(J7-F7)/J7*100</f>
        <v/>
      </c>
      <c r="M7" s="5">
        <f>F7/J7</f>
        <v/>
      </c>
      <c r="N7" s="2">
        <f>COUNTIFS($A$2:$A$37,A7,$B$2:$B$37,B7,$F$2:$F$37,"&lt;"&amp;F7)+1</f>
        <v/>
      </c>
      <c r="O7" s="2" t="inlineStr">
        <is>
          <t>82b89db0c88b4f4e958518506d7955c9</t>
        </is>
      </c>
      <c r="P7" s="2" t="n">
        <v>42</v>
      </c>
      <c r="Q7" s="2" t="inlineStr">
        <is>
          <t>preliminary</t>
        </is>
      </c>
      <c r="R7" s="2" t="inlineStr">
        <is>
          <t>48f7c13e01d7274ff1cfba435d1f76b878c273a66e89de72b7f447d7a366c518</t>
        </is>
      </c>
    </row>
    <row r="8">
      <c r="A8" s="2" t="inlineStr">
        <is>
          <t>FPT</t>
        </is>
      </c>
      <c r="B8" s="2" t="inlineStr">
        <is>
          <t>1d</t>
        </is>
      </c>
      <c r="C8" s="2" t="inlineStr">
        <is>
          <t>Random Forest</t>
        </is>
      </c>
      <c r="D8" s="2" t="n">
        <v>78</v>
      </c>
      <c r="E8" s="3" t="n">
        <v>14.83769318808503</v>
      </c>
      <c r="F8" s="3" t="n">
        <v>14.98372702330017</v>
      </c>
      <c r="G8" s="4" t="n">
        <v>20.2206200876789</v>
      </c>
      <c r="H8" s="5" t="n">
        <v>0.4230769230769231</v>
      </c>
      <c r="I8" s="3" t="n">
        <v>1.201410256410256</v>
      </c>
      <c r="J8" s="3" t="n">
        <v>1.578471753603173</v>
      </c>
      <c r="K8" s="4" t="n">
        <v>1.616184553702718</v>
      </c>
      <c r="L8" s="4">
        <f>(J8-F8)/J8*100</f>
        <v/>
      </c>
      <c r="M8" s="5">
        <f>F8/J8</f>
        <v/>
      </c>
      <c r="N8" s="2">
        <f>COUNTIFS($A$2:$A$37,A8,$B$2:$B$37,B8,$F$2:$F$37,"&lt;"&amp;F8)+1</f>
        <v/>
      </c>
      <c r="O8" s="2" t="inlineStr">
        <is>
          <t>0668992ce3cf45389acd4f7f3159d6c9</t>
        </is>
      </c>
      <c r="P8" s="2" t="n">
        <v>42</v>
      </c>
      <c r="Q8" s="2" t="inlineStr">
        <is>
          <t>preliminary</t>
        </is>
      </c>
      <c r="R8" s="2" t="inlineStr">
        <is>
          <t>48f7c13e01d7274ff1cfba435d1f76b878c273a66e89de72b7f447d7a366c518</t>
        </is>
      </c>
    </row>
    <row r="9">
      <c r="A9" s="2" t="inlineStr">
        <is>
          <t>FPT</t>
        </is>
      </c>
      <c r="B9" s="2" t="inlineStr">
        <is>
          <t>1d</t>
        </is>
      </c>
      <c r="C9" s="2" t="inlineStr">
        <is>
          <t>GRU v2</t>
        </is>
      </c>
      <c r="D9" s="2" t="n">
        <v>78</v>
      </c>
      <c r="E9" s="3" t="n">
        <v>1.221923999889541</v>
      </c>
      <c r="F9" s="3" t="n">
        <v>1.585454209361559</v>
      </c>
      <c r="G9" s="4" t="n">
        <v>1.645547228271209</v>
      </c>
      <c r="H9" s="5" t="n">
        <v>0.4230769230769231</v>
      </c>
      <c r="I9" s="3" t="n">
        <v>1.201410256410256</v>
      </c>
      <c r="J9" s="3" t="n">
        <v>1.578471753603173</v>
      </c>
      <c r="K9" s="4" t="n">
        <v>1.616184553702718</v>
      </c>
      <c r="L9" s="4">
        <f>(J9-F9)/J9*100</f>
        <v/>
      </c>
      <c r="M9" s="5">
        <f>F9/J9</f>
        <v/>
      </c>
      <c r="N9" s="2">
        <f>COUNTIFS($A$2:$A$37,A9,$B$2:$B$37,B9,$F$2:$F$37,"&lt;"&amp;F9)+1</f>
        <v/>
      </c>
      <c r="O9" s="2" t="inlineStr">
        <is>
          <t>690aa787f59740f29f66a8e389cbe33f</t>
        </is>
      </c>
      <c r="P9" s="2" t="n">
        <v>42</v>
      </c>
      <c r="Q9" s="2" t="inlineStr">
        <is>
          <t>preliminary</t>
        </is>
      </c>
      <c r="R9" s="2" t="inlineStr">
        <is>
          <t>48f7c13e01d7274ff1cfba435d1f76b878c273a66e89de72b7f447d7a366c518</t>
        </is>
      </c>
    </row>
    <row r="10">
      <c r="A10" s="2" t="inlineStr">
        <is>
          <t>HPG</t>
        </is>
      </c>
      <c r="B10" s="2" t="inlineStr">
        <is>
          <t>1d</t>
        </is>
      </c>
      <c r="C10" s="2" t="inlineStr">
        <is>
          <t>ARIMA</t>
        </is>
      </c>
      <c r="D10" s="2" t="n">
        <v>78</v>
      </c>
      <c r="E10" s="3" t="n">
        <v>0.2801938798076089</v>
      </c>
      <c r="F10" s="3" t="n">
        <v>0.4147677204915995</v>
      </c>
      <c r="G10" s="4" t="n">
        <v>1.166987813286322</v>
      </c>
      <c r="H10" s="5" t="n">
        <v>0.4615384615384615</v>
      </c>
      <c r="I10" s="3" t="n">
        <v>0.28</v>
      </c>
      <c r="J10" s="3" t="n">
        <v>0.4141286806085327</v>
      </c>
      <c r="K10" s="4" t="n">
        <v>1.166180038344439</v>
      </c>
      <c r="L10" s="4">
        <f>(J10-F10)/J10*100</f>
        <v/>
      </c>
      <c r="M10" s="5">
        <f>F10/J10</f>
        <v/>
      </c>
      <c r="N10" s="2">
        <f>COUNTIFS($A$2:$A$37,A10,$B$2:$B$37,B10,$F$2:$F$37,"&lt;"&amp;F10)+1</f>
        <v/>
      </c>
      <c r="O10" s="2" t="inlineStr">
        <is>
          <t>11b29383abce4a449c5770d37258c269</t>
        </is>
      </c>
      <c r="P10" s="2" t="n">
        <v>42</v>
      </c>
      <c r="Q10" s="2" t="inlineStr">
        <is>
          <t>preliminary</t>
        </is>
      </c>
      <c r="R10" s="2" t="inlineStr">
        <is>
          <t>752ebd51d70012303f43480234948c8b1296ee6f52be52fec26d35475a7a2cbc</t>
        </is>
      </c>
    </row>
    <row r="11">
      <c r="A11" s="2" t="inlineStr">
        <is>
          <t>HPG</t>
        </is>
      </c>
      <c r="B11" s="2" t="inlineStr">
        <is>
          <t>1d</t>
        </is>
      </c>
      <c r="C11" s="2" t="inlineStr">
        <is>
          <t>XGBoost</t>
        </is>
      </c>
      <c r="D11" s="2" t="n">
        <v>78</v>
      </c>
      <c r="E11" s="3" t="n">
        <v>0.4019043575189051</v>
      </c>
      <c r="F11" s="3" t="n">
        <v>0.5258925114989796</v>
      </c>
      <c r="G11" s="4" t="n">
        <v>1.667269921198482</v>
      </c>
      <c r="H11" s="5" t="n">
        <v>0.6025641025641025</v>
      </c>
      <c r="I11" s="3" t="n">
        <v>0.28</v>
      </c>
      <c r="J11" s="3" t="n">
        <v>0.4141286806085327</v>
      </c>
      <c r="K11" s="4" t="n">
        <v>1.166180038344439</v>
      </c>
      <c r="L11" s="4">
        <f>(J11-F11)/J11*100</f>
        <v/>
      </c>
      <c r="M11" s="5">
        <f>F11/J11</f>
        <v/>
      </c>
      <c r="N11" s="2">
        <f>COUNTIFS($A$2:$A$37,A11,$B$2:$B$37,B11,$F$2:$F$37,"&lt;"&amp;F11)+1</f>
        <v/>
      </c>
      <c r="O11" s="2" t="inlineStr">
        <is>
          <t>c44b3e8907d04b48b92a1b918865237e</t>
        </is>
      </c>
      <c r="P11" s="2" t="n">
        <v>42</v>
      </c>
      <c r="Q11" s="2" t="inlineStr">
        <is>
          <t>preliminary</t>
        </is>
      </c>
      <c r="R11" s="2" t="inlineStr">
        <is>
          <t>752ebd51d70012303f43480234948c8b1296ee6f52be52fec26d35475a7a2cbc</t>
        </is>
      </c>
    </row>
    <row r="12">
      <c r="A12" s="2" t="inlineStr">
        <is>
          <t>HPG</t>
        </is>
      </c>
      <c r="B12" s="2" t="inlineStr">
        <is>
          <t>1d</t>
        </is>
      </c>
      <c r="C12" s="2" t="inlineStr">
        <is>
          <t>Random Forest</t>
        </is>
      </c>
      <c r="D12" s="2" t="n">
        <v>78</v>
      </c>
      <c r="E12" s="3" t="n">
        <v>0.2846659157838746</v>
      </c>
      <c r="F12" s="3" t="n">
        <v>0.3876384836173255</v>
      </c>
      <c r="G12" s="4" t="n">
        <v>1.182719890582104</v>
      </c>
      <c r="H12" s="5" t="n">
        <v>0.6025641025641025</v>
      </c>
      <c r="I12" s="3" t="n">
        <v>0.28</v>
      </c>
      <c r="J12" s="3" t="n">
        <v>0.4141286806085327</v>
      </c>
      <c r="K12" s="4" t="n">
        <v>1.166180038344439</v>
      </c>
      <c r="L12" s="4">
        <f>(J12-F12)/J12*100</f>
        <v/>
      </c>
      <c r="M12" s="5">
        <f>F12/J12</f>
        <v/>
      </c>
      <c r="N12" s="2">
        <f>COUNTIFS($A$2:$A$37,A12,$B$2:$B$37,B12,$F$2:$F$37,"&lt;"&amp;F12)+1</f>
        <v/>
      </c>
      <c r="O12" s="2" t="inlineStr">
        <is>
          <t>288a3568ba8d499b9b98f2636bdc2257</t>
        </is>
      </c>
      <c r="P12" s="2" t="n">
        <v>42</v>
      </c>
      <c r="Q12" s="2" t="inlineStr">
        <is>
          <t>preliminary</t>
        </is>
      </c>
      <c r="R12" s="2" t="inlineStr">
        <is>
          <t>752ebd51d70012303f43480234948c8b1296ee6f52be52fec26d35475a7a2cbc</t>
        </is>
      </c>
    </row>
    <row r="13">
      <c r="A13" s="2" t="inlineStr">
        <is>
          <t>HPG</t>
        </is>
      </c>
      <c r="B13" s="2" t="inlineStr">
        <is>
          <t>1d</t>
        </is>
      </c>
      <c r="C13" s="2" t="inlineStr">
        <is>
          <t>GRU v2</t>
        </is>
      </c>
      <c r="D13" s="2" t="n">
        <v>78</v>
      </c>
      <c r="E13" s="3" t="n">
        <v>0.2797245994286659</v>
      </c>
      <c r="F13" s="3" t="n">
        <v>0.4135284577447478</v>
      </c>
      <c r="G13" s="4" t="n">
        <v>1.16529541889882</v>
      </c>
      <c r="H13" s="5" t="n">
        <v>0.5256410256410257</v>
      </c>
      <c r="I13" s="3" t="n">
        <v>0.28</v>
      </c>
      <c r="J13" s="3" t="n">
        <v>0.4141286806085327</v>
      </c>
      <c r="K13" s="4" t="n">
        <v>1.166180038344439</v>
      </c>
      <c r="L13" s="4">
        <f>(J13-F13)/J13*100</f>
        <v/>
      </c>
      <c r="M13" s="5">
        <f>F13/J13</f>
        <v/>
      </c>
      <c r="N13" s="2">
        <f>COUNTIFS($A$2:$A$37,A13,$B$2:$B$37,B13,$F$2:$F$37,"&lt;"&amp;F13)+1</f>
        <v/>
      </c>
      <c r="O13" s="2" t="inlineStr">
        <is>
          <t>fdc703c85592411aaa4c8051ff583488</t>
        </is>
      </c>
      <c r="P13" s="2" t="n">
        <v>42</v>
      </c>
      <c r="Q13" s="2" t="inlineStr">
        <is>
          <t>preliminary</t>
        </is>
      </c>
      <c r="R13" s="2" t="inlineStr">
        <is>
          <t>752ebd51d70012303f43480234948c8b1296ee6f52be52fec26d35475a7a2cbc</t>
        </is>
      </c>
    </row>
    <row r="14">
      <c r="A14" s="2" t="inlineStr">
        <is>
          <t>VCB</t>
        </is>
      </c>
      <c r="B14" s="2" t="inlineStr">
        <is>
          <t>1d</t>
        </is>
      </c>
      <c r="C14" s="2" t="inlineStr">
        <is>
          <t>ARIMA</t>
        </is>
      </c>
      <c r="D14" s="2" t="n">
        <v>78</v>
      </c>
      <c r="E14" s="3" t="n">
        <v>0.6932417416489907</v>
      </c>
      <c r="F14" s="3" t="n">
        <v>1.058581698417685</v>
      </c>
      <c r="G14" s="4" t="n">
        <v>1.146747125757102</v>
      </c>
      <c r="H14" s="5" t="n">
        <v>0.4230769230769231</v>
      </c>
      <c r="I14" s="3" t="n">
        <v>0.6717948717948727</v>
      </c>
      <c r="J14" s="3" t="n">
        <v>1.031677747341182</v>
      </c>
      <c r="K14" s="4" t="n">
        <v>1.110992208253102</v>
      </c>
      <c r="L14" s="4">
        <f>(J14-F14)/J14*100</f>
        <v/>
      </c>
      <c r="M14" s="5">
        <f>F14/J14</f>
        <v/>
      </c>
      <c r="N14" s="2">
        <f>COUNTIFS($A$2:$A$37,A14,$B$2:$B$37,B14,$F$2:$F$37,"&lt;"&amp;F14)+1</f>
        <v/>
      </c>
      <c r="O14" s="2" t="inlineStr">
        <is>
          <t>1ed8b10b28b44a33ad802008dab19c1e</t>
        </is>
      </c>
      <c r="P14" s="2" t="n">
        <v>42</v>
      </c>
      <c r="Q14" s="2" t="inlineStr">
        <is>
          <t>preliminary</t>
        </is>
      </c>
      <c r="R14" s="2" t="inlineStr">
        <is>
          <t>9395bf5ae2854696c80fbf9c57d763d108c11ea8f057ae2d9fd8bad13169d106</t>
        </is>
      </c>
    </row>
    <row r="15">
      <c r="A15" s="2" t="inlineStr">
        <is>
          <t>VCB</t>
        </is>
      </c>
      <c r="B15" s="2" t="inlineStr">
        <is>
          <t>1d</t>
        </is>
      </c>
      <c r="C15" s="2" t="inlineStr">
        <is>
          <t>XGBoost</t>
        </is>
      </c>
      <c r="D15" s="2" t="n">
        <v>78</v>
      </c>
      <c r="E15" s="3" t="n">
        <v>0.8993486355512571</v>
      </c>
      <c r="F15" s="3" t="n">
        <v>1.371758565383417</v>
      </c>
      <c r="G15" s="4" t="n">
        <v>1.472048944599102</v>
      </c>
      <c r="H15" s="5" t="n">
        <v>0.6282051282051282</v>
      </c>
      <c r="I15" s="3" t="n">
        <v>0.6717948717948727</v>
      </c>
      <c r="J15" s="3" t="n">
        <v>1.031677747341182</v>
      </c>
      <c r="K15" s="4" t="n">
        <v>1.110992208253102</v>
      </c>
      <c r="L15" s="4">
        <f>(J15-F15)/J15*100</f>
        <v/>
      </c>
      <c r="M15" s="5">
        <f>F15/J15</f>
        <v/>
      </c>
      <c r="N15" s="2">
        <f>COUNTIFS($A$2:$A$37,A15,$B$2:$B$37,B15,$F$2:$F$37,"&lt;"&amp;F15)+1</f>
        <v/>
      </c>
      <c r="O15" s="2" t="inlineStr">
        <is>
          <t>e3d2cb7db0e445a788d834070cc9548a</t>
        </is>
      </c>
      <c r="P15" s="2" t="n">
        <v>42</v>
      </c>
      <c r="Q15" s="2" t="inlineStr">
        <is>
          <t>preliminary</t>
        </is>
      </c>
      <c r="R15" s="2" t="inlineStr">
        <is>
          <t>9395bf5ae2854696c80fbf9c57d763d108c11ea8f057ae2d9fd8bad13169d106</t>
        </is>
      </c>
    </row>
    <row r="16">
      <c r="A16" s="2" t="inlineStr">
        <is>
          <t>VCB</t>
        </is>
      </c>
      <c r="B16" s="2" t="inlineStr">
        <is>
          <t>1d</t>
        </is>
      </c>
      <c r="C16" s="2" t="inlineStr">
        <is>
          <t>Random Forest</t>
        </is>
      </c>
      <c r="D16" s="2" t="n">
        <v>78</v>
      </c>
      <c r="E16" s="3" t="n">
        <v>0.7612413459191945</v>
      </c>
      <c r="F16" s="3" t="n">
        <v>1.165067997411348</v>
      </c>
      <c r="G16" s="4" t="n">
        <v>1.251678839597622</v>
      </c>
      <c r="H16" s="5" t="n">
        <v>0.5641025641025641</v>
      </c>
      <c r="I16" s="3" t="n">
        <v>0.6717948717948727</v>
      </c>
      <c r="J16" s="3" t="n">
        <v>1.031677747341182</v>
      </c>
      <c r="K16" s="4" t="n">
        <v>1.110992208253102</v>
      </c>
      <c r="L16" s="4">
        <f>(J16-F16)/J16*100</f>
        <v/>
      </c>
      <c r="M16" s="5">
        <f>F16/J16</f>
        <v/>
      </c>
      <c r="N16" s="2">
        <f>COUNTIFS($A$2:$A$37,A16,$B$2:$B$37,B16,$F$2:$F$37,"&lt;"&amp;F16)+1</f>
        <v/>
      </c>
      <c r="O16" s="2" t="inlineStr">
        <is>
          <t>06ef34b4d18b45deb1abdcca9ed6cb56</t>
        </is>
      </c>
      <c r="P16" s="2" t="n">
        <v>42</v>
      </c>
      <c r="Q16" s="2" t="inlineStr">
        <is>
          <t>preliminary</t>
        </is>
      </c>
      <c r="R16" s="2" t="inlineStr">
        <is>
          <t>9395bf5ae2854696c80fbf9c57d763d108c11ea8f057ae2d9fd8bad13169d106</t>
        </is>
      </c>
    </row>
    <row r="17">
      <c r="A17" s="2" t="inlineStr">
        <is>
          <t>VCB</t>
        </is>
      </c>
      <c r="B17" s="2" t="inlineStr">
        <is>
          <t>1d</t>
        </is>
      </c>
      <c r="C17" s="2" t="inlineStr">
        <is>
          <t>GRU v2</t>
        </is>
      </c>
      <c r="D17" s="2" t="n">
        <v>78</v>
      </c>
      <c r="E17" s="3" t="n">
        <v>0.6708661976227396</v>
      </c>
      <c r="F17" s="3" t="n">
        <v>1.020631189251371</v>
      </c>
      <c r="G17" s="4" t="n">
        <v>1.109168800204639</v>
      </c>
      <c r="H17" s="5" t="n">
        <v>0.4743589743589743</v>
      </c>
      <c r="I17" s="3" t="n">
        <v>0.6717948717948727</v>
      </c>
      <c r="J17" s="3" t="n">
        <v>1.031677747341182</v>
      </c>
      <c r="K17" s="4" t="n">
        <v>1.110992208253102</v>
      </c>
      <c r="L17" s="4">
        <f>(J17-F17)/J17*100</f>
        <v/>
      </c>
      <c r="M17" s="5">
        <f>F17/J17</f>
        <v/>
      </c>
      <c r="N17" s="2">
        <f>COUNTIFS($A$2:$A$37,A17,$B$2:$B$37,B17,$F$2:$F$37,"&lt;"&amp;F17)+1</f>
        <v/>
      </c>
      <c r="O17" s="2" t="inlineStr">
        <is>
          <t>3cb18d14f7a4408b9f0603276f69f3d8</t>
        </is>
      </c>
      <c r="P17" s="2" t="n">
        <v>42</v>
      </c>
      <c r="Q17" s="2" t="inlineStr">
        <is>
          <t>preliminary</t>
        </is>
      </c>
      <c r="R17" s="2" t="inlineStr">
        <is>
          <t>9395bf5ae2854696c80fbf9c57d763d108c11ea8f057ae2d9fd8bad13169d106</t>
        </is>
      </c>
    </row>
    <row r="18">
      <c r="A18" s="2" t="inlineStr">
        <is>
          <t>VNM</t>
        </is>
      </c>
      <c r="B18" s="2" t="inlineStr">
        <is>
          <t>1d</t>
        </is>
      </c>
      <c r="C18" s="2" t="inlineStr">
        <is>
          <t>ARIMA</t>
        </is>
      </c>
      <c r="D18" s="2" t="n">
        <v>78</v>
      </c>
      <c r="E18" s="3" t="n">
        <v>0.538143277360863</v>
      </c>
      <c r="F18" s="3" t="n">
        <v>0.8329238395685412</v>
      </c>
      <c r="G18" s="4" t="n">
        <v>0.9185137499149824</v>
      </c>
      <c r="H18" s="5" t="n">
        <v>0.4615384615384615</v>
      </c>
      <c r="I18" s="3" t="n">
        <v>0.5487179487179488</v>
      </c>
      <c r="J18" s="3" t="n">
        <v>0.8614061253674211</v>
      </c>
      <c r="K18" s="4" t="n">
        <v>0.9354847975115768</v>
      </c>
      <c r="L18" s="4">
        <f>(J18-F18)/J18*100</f>
        <v/>
      </c>
      <c r="M18" s="5">
        <f>F18/J18</f>
        <v/>
      </c>
      <c r="N18" s="2">
        <f>COUNTIFS($A$2:$A$37,A18,$B$2:$B$37,B18,$F$2:$F$37,"&lt;"&amp;F18)+1</f>
        <v/>
      </c>
      <c r="O18" s="2" t="inlineStr">
        <is>
          <t>d28d59a8c18d4d1aa5f361ca32f595f4</t>
        </is>
      </c>
      <c r="P18" s="2" t="n">
        <v>42</v>
      </c>
      <c r="Q18" s="2" t="inlineStr">
        <is>
          <t>preliminary</t>
        </is>
      </c>
      <c r="R18" s="2" t="inlineStr">
        <is>
          <t>f5fce31e7826dab523bc954a07f66dcba4529297a0b604e1fa0605a4e5816e79</t>
        </is>
      </c>
    </row>
    <row r="19">
      <c r="A19" s="2" t="inlineStr">
        <is>
          <t>VNM</t>
        </is>
      </c>
      <c r="B19" s="2" t="inlineStr">
        <is>
          <t>1d</t>
        </is>
      </c>
      <c r="C19" s="2" t="inlineStr">
        <is>
          <t>XGBoost</t>
        </is>
      </c>
      <c r="D19" s="2" t="n">
        <v>78</v>
      </c>
      <c r="E19" s="3" t="n">
        <v>0.6553177545009513</v>
      </c>
      <c r="F19" s="3" t="n">
        <v>0.9645985357569998</v>
      </c>
      <c r="G19" s="4" t="n">
        <v>1.115136355693673</v>
      </c>
      <c r="H19" s="5" t="n">
        <v>0.5769230769230769</v>
      </c>
      <c r="I19" s="3" t="n">
        <v>0.5487179487179488</v>
      </c>
      <c r="J19" s="3" t="n">
        <v>0.8614061253674211</v>
      </c>
      <c r="K19" s="4" t="n">
        <v>0.9354847975115768</v>
      </c>
      <c r="L19" s="4">
        <f>(J19-F19)/J19*100</f>
        <v/>
      </c>
      <c r="M19" s="5">
        <f>F19/J19</f>
        <v/>
      </c>
      <c r="N19" s="2">
        <f>COUNTIFS($A$2:$A$37,A19,$B$2:$B$37,B19,$F$2:$F$37,"&lt;"&amp;F19)+1</f>
        <v/>
      </c>
      <c r="O19" s="2" t="inlineStr">
        <is>
          <t>e2750c790639489a93c0665a21d5da2a</t>
        </is>
      </c>
      <c r="P19" s="2" t="n">
        <v>42</v>
      </c>
      <c r="Q19" s="2" t="inlineStr">
        <is>
          <t>preliminary</t>
        </is>
      </c>
      <c r="R19" s="2" t="inlineStr">
        <is>
          <t>f5fce31e7826dab523bc954a07f66dcba4529297a0b604e1fa0605a4e5816e79</t>
        </is>
      </c>
    </row>
    <row r="20">
      <c r="A20" s="2" t="inlineStr">
        <is>
          <t>VNM</t>
        </is>
      </c>
      <c r="B20" s="2" t="inlineStr">
        <is>
          <t>1d</t>
        </is>
      </c>
      <c r="C20" s="2" t="inlineStr">
        <is>
          <t>Random Forest</t>
        </is>
      </c>
      <c r="D20" s="2" t="n">
        <v>78</v>
      </c>
      <c r="E20" s="3" t="n">
        <v>0.5561075151447513</v>
      </c>
      <c r="F20" s="3" t="n">
        <v>0.912325257548158</v>
      </c>
      <c r="G20" s="4" t="n">
        <v>0.9470699247262996</v>
      </c>
      <c r="H20" s="5" t="n">
        <v>0.5256410256410257</v>
      </c>
      <c r="I20" s="3" t="n">
        <v>0.5487179487179488</v>
      </c>
      <c r="J20" s="3" t="n">
        <v>0.8614061253674211</v>
      </c>
      <c r="K20" s="4" t="n">
        <v>0.9354847975115768</v>
      </c>
      <c r="L20" s="4">
        <f>(J20-F20)/J20*100</f>
        <v/>
      </c>
      <c r="M20" s="5">
        <f>F20/J20</f>
        <v/>
      </c>
      <c r="N20" s="2">
        <f>COUNTIFS($A$2:$A$37,A20,$B$2:$B$37,B20,$F$2:$F$37,"&lt;"&amp;F20)+1</f>
        <v/>
      </c>
      <c r="O20" s="2" t="inlineStr">
        <is>
          <t>8896c612e44845aab5b0bd949b4dc839</t>
        </is>
      </c>
      <c r="P20" s="2" t="n">
        <v>42</v>
      </c>
      <c r="Q20" s="2" t="inlineStr">
        <is>
          <t>preliminary</t>
        </is>
      </c>
      <c r="R20" s="2" t="inlineStr">
        <is>
          <t>f5fce31e7826dab523bc954a07f66dcba4529297a0b604e1fa0605a4e5816e79</t>
        </is>
      </c>
    </row>
    <row r="21">
      <c r="A21" s="2" t="inlineStr">
        <is>
          <t>VNM</t>
        </is>
      </c>
      <c r="B21" s="2" t="inlineStr">
        <is>
          <t>1d</t>
        </is>
      </c>
      <c r="C21" s="2" t="inlineStr">
        <is>
          <t>GRU v2</t>
        </is>
      </c>
      <c r="D21" s="2" t="n">
        <v>78</v>
      </c>
      <c r="E21" s="3" t="n">
        <v>0.5423481638920612</v>
      </c>
      <c r="F21" s="3" t="n">
        <v>0.8575482938241398</v>
      </c>
      <c r="G21" s="4" t="n">
        <v>0.9244313242604888</v>
      </c>
      <c r="H21" s="5" t="n">
        <v>0.5512820512820513</v>
      </c>
      <c r="I21" s="3" t="n">
        <v>0.5487179487179488</v>
      </c>
      <c r="J21" s="3" t="n">
        <v>0.8614061253674211</v>
      </c>
      <c r="K21" s="4" t="n">
        <v>0.9354847975115768</v>
      </c>
      <c r="L21" s="4">
        <f>(J21-F21)/J21*100</f>
        <v/>
      </c>
      <c r="M21" s="5">
        <f>F21/J21</f>
        <v/>
      </c>
      <c r="N21" s="2">
        <f>COUNTIFS($A$2:$A$37,A21,$B$2:$B$37,B21,$F$2:$F$37,"&lt;"&amp;F21)+1</f>
        <v/>
      </c>
      <c r="O21" s="2" t="inlineStr">
        <is>
          <t>f276d5c3ac9145d3a836f2899c06c15b</t>
        </is>
      </c>
      <c r="P21" s="2" t="n">
        <v>42</v>
      </c>
      <c r="Q21" s="2" t="inlineStr">
        <is>
          <t>preliminary</t>
        </is>
      </c>
      <c r="R21" s="2" t="inlineStr">
        <is>
          <t>f5fce31e7826dab523bc954a07f66dcba4529297a0b604e1fa0605a4e5816e79</t>
        </is>
      </c>
    </row>
    <row r="22">
      <c r="A22" s="2" t="inlineStr">
        <is>
          <t>BTCUSDT</t>
        </is>
      </c>
      <c r="B22" s="2" t="inlineStr">
        <is>
          <t>1d</t>
        </is>
      </c>
      <c r="C22" s="2" t="inlineStr">
        <is>
          <t>ARIMA</t>
        </is>
      </c>
      <c r="D22" s="2" t="n">
        <v>109</v>
      </c>
      <c r="E22" s="3" t="n">
        <v>1079.68534536565</v>
      </c>
      <c r="F22" s="3" t="n">
        <v>1389.39875803682</v>
      </c>
      <c r="G22" s="4" t="n">
        <v>1.525522738539389</v>
      </c>
      <c r="H22" s="5" t="n">
        <v>0.4495412844036697</v>
      </c>
      <c r="I22" s="3" t="n">
        <v>1077.680458715596</v>
      </c>
      <c r="J22" s="3" t="n">
        <v>1386.268510228915</v>
      </c>
      <c r="K22" s="4" t="n">
        <v>1.522450627322504</v>
      </c>
      <c r="L22" s="4">
        <f>(J22-F22)/J22*100</f>
        <v/>
      </c>
      <c r="M22" s="5">
        <f>F22/J22</f>
        <v/>
      </c>
      <c r="N22" s="2">
        <f>COUNTIFS($A$2:$A$37,A22,$B$2:$B$37,B22,$F$2:$F$37,"&lt;"&amp;F22)+1</f>
        <v/>
      </c>
      <c r="O22" s="2" t="inlineStr">
        <is>
          <t>fd199910b4dc4ba1950860a1218a7d50</t>
        </is>
      </c>
      <c r="P22" s="2" t="n">
        <v>42</v>
      </c>
      <c r="Q22" s="2" t="inlineStr">
        <is>
          <t>preliminary</t>
        </is>
      </c>
      <c r="R22" s="2" t="inlineStr">
        <is>
          <t>bf2993aa00b8b96ce9d72302579a3495cf40d33c1f04e87f342fbcc018936035</t>
        </is>
      </c>
    </row>
    <row r="23">
      <c r="A23" s="2" t="inlineStr">
        <is>
          <t>BTCUSDT</t>
        </is>
      </c>
      <c r="B23" s="2" t="inlineStr">
        <is>
          <t>1d</t>
        </is>
      </c>
      <c r="C23" s="2" t="inlineStr">
        <is>
          <t>XGBoost</t>
        </is>
      </c>
      <c r="D23" s="2" t="n">
        <v>109</v>
      </c>
      <c r="E23" s="3" t="n">
        <v>4226.007849770643</v>
      </c>
      <c r="F23" s="3" t="n">
        <v>5026.328551684823</v>
      </c>
      <c r="G23" s="4" t="n">
        <v>5.949209775268669</v>
      </c>
      <c r="H23" s="5" t="n">
        <v>0.4311926605504587</v>
      </c>
      <c r="I23" s="3" t="n">
        <v>1077.680458715596</v>
      </c>
      <c r="J23" s="3" t="n">
        <v>1386.268510228915</v>
      </c>
      <c r="K23" s="4" t="n">
        <v>1.522450627322504</v>
      </c>
      <c r="L23" s="4">
        <f>(J23-F23)/J23*100</f>
        <v/>
      </c>
      <c r="M23" s="5">
        <f>F23/J23</f>
        <v/>
      </c>
      <c r="N23" s="2">
        <f>COUNTIFS($A$2:$A$37,A23,$B$2:$B$37,B23,$F$2:$F$37,"&lt;"&amp;F23)+1</f>
        <v/>
      </c>
      <c r="O23" s="2" t="inlineStr">
        <is>
          <t>6781820db689461c8597278baafd1d77</t>
        </is>
      </c>
      <c r="P23" s="2" t="n">
        <v>42</v>
      </c>
      <c r="Q23" s="2" t="inlineStr">
        <is>
          <t>preliminary</t>
        </is>
      </c>
      <c r="R23" s="2" t="inlineStr">
        <is>
          <t>bf2993aa00b8b96ce9d72302579a3495cf40d33c1f04e87f342fbcc018936035</t>
        </is>
      </c>
    </row>
    <row r="24">
      <c r="A24" s="2" t="inlineStr">
        <is>
          <t>BTCUSDT</t>
        </is>
      </c>
      <c r="B24" s="2" t="inlineStr">
        <is>
          <t>1d</t>
        </is>
      </c>
      <c r="C24" s="2" t="inlineStr">
        <is>
          <t>Random Forest</t>
        </is>
      </c>
      <c r="D24" s="2" t="n">
        <v>109</v>
      </c>
      <c r="E24" s="3" t="n">
        <v>3507.45155772092</v>
      </c>
      <c r="F24" s="3" t="n">
        <v>4334.879459621713</v>
      </c>
      <c r="G24" s="4" t="n">
        <v>4.992216545071903</v>
      </c>
      <c r="H24" s="5" t="n">
        <v>0.4311926605504587</v>
      </c>
      <c r="I24" s="3" t="n">
        <v>1077.680458715596</v>
      </c>
      <c r="J24" s="3" t="n">
        <v>1386.268510228915</v>
      </c>
      <c r="K24" s="4" t="n">
        <v>1.522450627322504</v>
      </c>
      <c r="L24" s="4">
        <f>(J24-F24)/J24*100</f>
        <v/>
      </c>
      <c r="M24" s="5">
        <f>F24/J24</f>
        <v/>
      </c>
      <c r="N24" s="2">
        <f>COUNTIFS($A$2:$A$37,A24,$B$2:$B$37,B24,$F$2:$F$37,"&lt;"&amp;F24)+1</f>
        <v/>
      </c>
      <c r="O24" s="2" t="inlineStr">
        <is>
          <t>54daf7b70ffe4b7d969719ef2c682b22</t>
        </is>
      </c>
      <c r="P24" s="2" t="n">
        <v>42</v>
      </c>
      <c r="Q24" s="2" t="inlineStr">
        <is>
          <t>preliminary</t>
        </is>
      </c>
      <c r="R24" s="2" t="inlineStr">
        <is>
          <t>bf2993aa00b8b96ce9d72302579a3495cf40d33c1f04e87f342fbcc018936035</t>
        </is>
      </c>
    </row>
    <row r="25">
      <c r="A25" s="2" t="inlineStr">
        <is>
          <t>BTCUSDT</t>
        </is>
      </c>
      <c r="B25" s="2" t="inlineStr">
        <is>
          <t>1d</t>
        </is>
      </c>
      <c r="C25" s="2" t="inlineStr">
        <is>
          <t>GRU v2</t>
        </is>
      </c>
      <c r="D25" s="2" t="n">
        <v>109</v>
      </c>
      <c r="E25" s="3" t="n">
        <v>1108.02987929496</v>
      </c>
      <c r="F25" s="3" t="n">
        <v>1433.40093214509</v>
      </c>
      <c r="G25" s="4" t="n">
        <v>1.572806266362289</v>
      </c>
      <c r="H25" s="5" t="n">
        <v>0.4770642201834862</v>
      </c>
      <c r="I25" s="3" t="n">
        <v>1077.680458715596</v>
      </c>
      <c r="J25" s="3" t="n">
        <v>1386.268510228915</v>
      </c>
      <c r="K25" s="4" t="n">
        <v>1.522450627322504</v>
      </c>
      <c r="L25" s="4">
        <f>(J25-F25)/J25*100</f>
        <v/>
      </c>
      <c r="M25" s="5">
        <f>F25/J25</f>
        <v/>
      </c>
      <c r="N25" s="2">
        <f>COUNTIFS($A$2:$A$37,A25,$B$2:$B$37,B25,$F$2:$F$37,"&lt;"&amp;F25)+1</f>
        <v/>
      </c>
      <c r="O25" s="2" t="inlineStr">
        <is>
          <t>5d74f7ebfd5d45b5b59446c7d5d5adda</t>
        </is>
      </c>
      <c r="P25" s="2" t="n">
        <v>42</v>
      </c>
      <c r="Q25" s="2" t="inlineStr">
        <is>
          <t>preliminary</t>
        </is>
      </c>
      <c r="R25" s="2" t="inlineStr">
        <is>
          <t>bf2993aa00b8b96ce9d72302579a3495cf40d33c1f04e87f342fbcc018936035</t>
        </is>
      </c>
    </row>
    <row r="26">
      <c r="A26" s="2" t="inlineStr">
        <is>
          <t>ETHUSDT</t>
        </is>
      </c>
      <c r="B26" s="2" t="inlineStr">
        <is>
          <t>1d</t>
        </is>
      </c>
      <c r="C26" s="2" t="inlineStr">
        <is>
          <t>ARIMA</t>
        </is>
      </c>
      <c r="D26" s="2" t="n">
        <v>109</v>
      </c>
      <c r="E26" s="3" t="n">
        <v>43.65062505438132</v>
      </c>
      <c r="F26" s="3" t="n">
        <v>58.74811185664731</v>
      </c>
      <c r="G26" s="4" t="n">
        <v>2.134237153556388</v>
      </c>
      <c r="H26" s="5" t="n">
        <v>0.4587155963302752</v>
      </c>
      <c r="I26" s="3" t="n">
        <v>41.17642201834864</v>
      </c>
      <c r="J26" s="3" t="n">
        <v>56.48209526319912</v>
      </c>
      <c r="K26" s="4" t="n">
        <v>2.014474792122365</v>
      </c>
      <c r="L26" s="4">
        <f>(J26-F26)/J26*100</f>
        <v/>
      </c>
      <c r="M26" s="5">
        <f>F26/J26</f>
        <v/>
      </c>
      <c r="N26" s="2">
        <f>COUNTIFS($A$2:$A$37,A26,$B$2:$B$37,B26,$F$2:$F$37,"&lt;"&amp;F26)+1</f>
        <v/>
      </c>
      <c r="O26" s="2" t="inlineStr">
        <is>
          <t>78566d190ed540b080c60fb969272a7c</t>
        </is>
      </c>
      <c r="P26" s="2" t="n">
        <v>42</v>
      </c>
      <c r="Q26" s="2" t="inlineStr">
        <is>
          <t>preliminary</t>
        </is>
      </c>
      <c r="R26" s="2" t="inlineStr">
        <is>
          <t>e5c6a190973a94662f1385e87918fcc5cedb0b2c9cbb0632ff145fd49139c8eb</t>
        </is>
      </c>
    </row>
    <row r="27">
      <c r="A27" s="2" t="inlineStr">
        <is>
          <t>ETHUSDT</t>
        </is>
      </c>
      <c r="B27" s="2" t="inlineStr">
        <is>
          <t>1d</t>
        </is>
      </c>
      <c r="C27" s="2" t="inlineStr">
        <is>
          <t>XGBoost</t>
        </is>
      </c>
      <c r="D27" s="2" t="n">
        <v>109</v>
      </c>
      <c r="E27" s="3" t="n">
        <v>149.8206434561353</v>
      </c>
      <c r="F27" s="3" t="n">
        <v>169.6202719595878</v>
      </c>
      <c r="G27" s="4" t="n">
        <v>7.158168717125293</v>
      </c>
      <c r="H27" s="5" t="n">
        <v>0.4862385321100917</v>
      </c>
      <c r="I27" s="3" t="n">
        <v>41.17642201834864</v>
      </c>
      <c r="J27" s="3" t="n">
        <v>56.48209526319912</v>
      </c>
      <c r="K27" s="4" t="n">
        <v>2.014474792122365</v>
      </c>
      <c r="L27" s="4">
        <f>(J27-F27)/J27*100</f>
        <v/>
      </c>
      <c r="M27" s="5">
        <f>F27/J27</f>
        <v/>
      </c>
      <c r="N27" s="2">
        <f>COUNTIFS($A$2:$A$37,A27,$B$2:$B$37,B27,$F$2:$F$37,"&lt;"&amp;F27)+1</f>
        <v/>
      </c>
      <c r="O27" s="2" t="inlineStr">
        <is>
          <t>6fe134ebe65a49e7b39cf4719a616eae</t>
        </is>
      </c>
      <c r="P27" s="2" t="n">
        <v>42</v>
      </c>
      <c r="Q27" s="2" t="inlineStr">
        <is>
          <t>preliminary</t>
        </is>
      </c>
      <c r="R27" s="2" t="inlineStr">
        <is>
          <t>e5c6a190973a94662f1385e87918fcc5cedb0b2c9cbb0632ff145fd49139c8eb</t>
        </is>
      </c>
    </row>
    <row r="28">
      <c r="A28" s="2" t="inlineStr">
        <is>
          <t>ETHUSDT</t>
        </is>
      </c>
      <c r="B28" s="2" t="inlineStr">
        <is>
          <t>1d</t>
        </is>
      </c>
      <c r="C28" s="2" t="inlineStr">
        <is>
          <t>Random Forest</t>
        </is>
      </c>
      <c r="D28" s="2" t="n">
        <v>109</v>
      </c>
      <c r="E28" s="3" t="n">
        <v>80.36304610208018</v>
      </c>
      <c r="F28" s="3" t="n">
        <v>97.10609095674133</v>
      </c>
      <c r="G28" s="4" t="n">
        <v>3.939064239298383</v>
      </c>
      <c r="H28" s="5" t="n">
        <v>0.4495412844036697</v>
      </c>
      <c r="I28" s="3" t="n">
        <v>41.17642201834864</v>
      </c>
      <c r="J28" s="3" t="n">
        <v>56.48209526319912</v>
      </c>
      <c r="K28" s="4" t="n">
        <v>2.014474792122365</v>
      </c>
      <c r="L28" s="4">
        <f>(J28-F28)/J28*100</f>
        <v/>
      </c>
      <c r="M28" s="5">
        <f>F28/J28</f>
        <v/>
      </c>
      <c r="N28" s="2">
        <f>COUNTIFS($A$2:$A$37,A28,$B$2:$B$37,B28,$F$2:$F$37,"&lt;"&amp;F28)+1</f>
        <v/>
      </c>
      <c r="O28" s="2" t="inlineStr">
        <is>
          <t>fb3a4b81ae12480f8ba08aa94a231699</t>
        </is>
      </c>
      <c r="P28" s="2" t="n">
        <v>42</v>
      </c>
      <c r="Q28" s="2" t="inlineStr">
        <is>
          <t>preliminary</t>
        </is>
      </c>
      <c r="R28" s="2" t="inlineStr">
        <is>
          <t>e5c6a190973a94662f1385e87918fcc5cedb0b2c9cbb0632ff145fd49139c8eb</t>
        </is>
      </c>
    </row>
    <row r="29">
      <c r="A29" s="2" t="inlineStr">
        <is>
          <t>ETHUSDT</t>
        </is>
      </c>
      <c r="B29" s="2" t="inlineStr">
        <is>
          <t>1d</t>
        </is>
      </c>
      <c r="C29" s="2" t="inlineStr">
        <is>
          <t>GRU v2</t>
        </is>
      </c>
      <c r="D29" s="2" t="n">
        <v>109</v>
      </c>
      <c r="E29" s="3" t="n">
        <v>43.0672876278325</v>
      </c>
      <c r="F29" s="3" t="n">
        <v>58.01517332306696</v>
      </c>
      <c r="G29" s="4" t="n">
        <v>2.12573643348304</v>
      </c>
      <c r="H29" s="5" t="n">
        <v>0.4770642201834862</v>
      </c>
      <c r="I29" s="3" t="n">
        <v>41.17642201834864</v>
      </c>
      <c r="J29" s="3" t="n">
        <v>56.48209526319912</v>
      </c>
      <c r="K29" s="4" t="n">
        <v>2.014474792122365</v>
      </c>
      <c r="L29" s="4">
        <f>(J29-F29)/J29*100</f>
        <v/>
      </c>
      <c r="M29" s="5">
        <f>F29/J29</f>
        <v/>
      </c>
      <c r="N29" s="2">
        <f>COUNTIFS($A$2:$A$37,A29,$B$2:$B$37,B29,$F$2:$F$37,"&lt;"&amp;F29)+1</f>
        <v/>
      </c>
      <c r="O29" s="2" t="inlineStr">
        <is>
          <t>ca2ce97f49474340892885f0e3be1570</t>
        </is>
      </c>
      <c r="P29" s="2" t="n">
        <v>42</v>
      </c>
      <c r="Q29" s="2" t="inlineStr">
        <is>
          <t>preliminary</t>
        </is>
      </c>
      <c r="R29" s="2" t="inlineStr">
        <is>
          <t>e5c6a190973a94662f1385e87918fcc5cedb0b2c9cbb0632ff145fd49139c8eb</t>
        </is>
      </c>
    </row>
    <row r="30">
      <c r="A30" s="2" t="inlineStr">
        <is>
          <t>SOLUSDT</t>
        </is>
      </c>
      <c r="B30" s="2" t="inlineStr">
        <is>
          <t>1d</t>
        </is>
      </c>
      <c r="C30" s="2" t="inlineStr">
        <is>
          <t>ARIMA</t>
        </is>
      </c>
      <c r="D30" s="2" t="n">
        <v>109</v>
      </c>
      <c r="E30" s="3" t="n">
        <v>1.820878632626222</v>
      </c>
      <c r="F30" s="3" t="n">
        <v>2.348755320095963</v>
      </c>
      <c r="G30" s="4" t="n">
        <v>2.25811671774242</v>
      </c>
      <c r="H30" s="5" t="n">
        <v>0.4862385321100917</v>
      </c>
      <c r="I30" s="3" t="n">
        <v>1.817798165137616</v>
      </c>
      <c r="J30" s="3" t="n">
        <v>2.343120713684869</v>
      </c>
      <c r="K30" s="4" t="n">
        <v>2.252707139918471</v>
      </c>
      <c r="L30" s="4">
        <f>(J30-F30)/J30*100</f>
        <v/>
      </c>
      <c r="M30" s="5">
        <f>F30/J30</f>
        <v/>
      </c>
      <c r="N30" s="2">
        <f>COUNTIFS($A$2:$A$37,A30,$B$2:$B$37,B30,$F$2:$F$37,"&lt;"&amp;F30)+1</f>
        <v/>
      </c>
      <c r="O30" s="2" t="inlineStr">
        <is>
          <t>e0a9c115ae0a4751987f6fe3c8f07b97</t>
        </is>
      </c>
      <c r="P30" s="2" t="n">
        <v>42</v>
      </c>
      <c r="Q30" s="2" t="inlineStr">
        <is>
          <t>preliminary</t>
        </is>
      </c>
      <c r="R30" s="2" t="inlineStr">
        <is>
          <t>cec96b36fe60426ca8b33935a189b01548951b75f594a95a6e47dbaba1af0098</t>
        </is>
      </c>
    </row>
    <row r="31">
      <c r="A31" s="2" t="inlineStr">
        <is>
          <t>SOLUSDT</t>
        </is>
      </c>
      <c r="B31" s="2" t="inlineStr">
        <is>
          <t>1d</t>
        </is>
      </c>
      <c r="C31" s="2" t="inlineStr">
        <is>
          <t>XGBoost</t>
        </is>
      </c>
      <c r="D31" s="2" t="n">
        <v>109</v>
      </c>
      <c r="E31" s="3" t="n">
        <v>34.35263344580974</v>
      </c>
      <c r="F31" s="3" t="n">
        <v>34.93860635689271</v>
      </c>
      <c r="G31" s="4" t="n">
        <v>43.1890892774432</v>
      </c>
      <c r="H31" s="5" t="n">
        <v>0.4587155963302752</v>
      </c>
      <c r="I31" s="3" t="n">
        <v>1.817798165137616</v>
      </c>
      <c r="J31" s="3" t="n">
        <v>2.343120713684869</v>
      </c>
      <c r="K31" s="4" t="n">
        <v>2.252707139918471</v>
      </c>
      <c r="L31" s="4">
        <f>(J31-F31)/J31*100</f>
        <v/>
      </c>
      <c r="M31" s="5">
        <f>F31/J31</f>
        <v/>
      </c>
      <c r="N31" s="2">
        <f>COUNTIFS($A$2:$A$37,A31,$B$2:$B$37,B31,$F$2:$F$37,"&lt;"&amp;F31)+1</f>
        <v/>
      </c>
      <c r="O31" s="2" t="inlineStr">
        <is>
          <t>05966496afa74a37bf319c5a1c9743a2</t>
        </is>
      </c>
      <c r="P31" s="2" t="n">
        <v>42</v>
      </c>
      <c r="Q31" s="2" t="inlineStr">
        <is>
          <t>preliminary</t>
        </is>
      </c>
      <c r="R31" s="2" t="inlineStr">
        <is>
          <t>cec96b36fe60426ca8b33935a189b01548951b75f594a95a6e47dbaba1af0098</t>
        </is>
      </c>
    </row>
    <row r="32">
      <c r="A32" s="2" t="inlineStr">
        <is>
          <t>SOLUSDT</t>
        </is>
      </c>
      <c r="B32" s="2" t="inlineStr">
        <is>
          <t>1d</t>
        </is>
      </c>
      <c r="C32" s="2" t="inlineStr">
        <is>
          <t>Random Forest</t>
        </is>
      </c>
      <c r="D32" s="2" t="n">
        <v>109</v>
      </c>
      <c r="E32" s="3" t="n">
        <v>30.9381710305545</v>
      </c>
      <c r="F32" s="3" t="n">
        <v>32.03796586081353</v>
      </c>
      <c r="G32" s="4" t="n">
        <v>39.30986377578314</v>
      </c>
      <c r="H32" s="5" t="n">
        <v>0.4587155963302752</v>
      </c>
      <c r="I32" s="3" t="n">
        <v>1.817798165137616</v>
      </c>
      <c r="J32" s="3" t="n">
        <v>2.343120713684869</v>
      </c>
      <c r="K32" s="4" t="n">
        <v>2.252707139918471</v>
      </c>
      <c r="L32" s="4">
        <f>(J32-F32)/J32*100</f>
        <v/>
      </c>
      <c r="M32" s="5">
        <f>F32/J32</f>
        <v/>
      </c>
      <c r="N32" s="2">
        <f>COUNTIFS($A$2:$A$37,A32,$B$2:$B$37,B32,$F$2:$F$37,"&lt;"&amp;F32)+1</f>
        <v/>
      </c>
      <c r="O32" s="2" t="inlineStr">
        <is>
          <t>7514315c5e5341c785703ccdf6bc3c6b</t>
        </is>
      </c>
      <c r="P32" s="2" t="n">
        <v>42</v>
      </c>
      <c r="Q32" s="2" t="inlineStr">
        <is>
          <t>preliminary</t>
        </is>
      </c>
      <c r="R32" s="2" t="inlineStr">
        <is>
          <t>cec96b36fe60426ca8b33935a189b01548951b75f594a95a6e47dbaba1af0098</t>
        </is>
      </c>
    </row>
    <row r="33">
      <c r="A33" s="2" t="inlineStr">
        <is>
          <t>SOLUSDT</t>
        </is>
      </c>
      <c r="B33" s="2" t="inlineStr">
        <is>
          <t>1d</t>
        </is>
      </c>
      <c r="C33" s="2" t="inlineStr">
        <is>
          <t>GRU v2</t>
        </is>
      </c>
      <c r="D33" s="2" t="n">
        <v>109</v>
      </c>
      <c r="E33" s="3" t="n">
        <v>2.215770596175228</v>
      </c>
      <c r="F33" s="3" t="n">
        <v>2.72152142400402</v>
      </c>
      <c r="G33" s="4" t="n">
        <v>2.774825187266583</v>
      </c>
      <c r="H33" s="5" t="n">
        <v>0.4587155963302752</v>
      </c>
      <c r="I33" s="3" t="n">
        <v>1.817798165137616</v>
      </c>
      <c r="J33" s="3" t="n">
        <v>2.343120713684869</v>
      </c>
      <c r="K33" s="4" t="n">
        <v>2.252707139918471</v>
      </c>
      <c r="L33" s="4">
        <f>(J33-F33)/J33*100</f>
        <v/>
      </c>
      <c r="M33" s="5">
        <f>F33/J33</f>
        <v/>
      </c>
      <c r="N33" s="2">
        <f>COUNTIFS($A$2:$A$37,A33,$B$2:$B$37,B33,$F$2:$F$37,"&lt;"&amp;F33)+1</f>
        <v/>
      </c>
      <c r="O33" s="2" t="inlineStr">
        <is>
          <t>9aefc580fa37478d98c01e37d0e4d849</t>
        </is>
      </c>
      <c r="P33" s="2" t="n">
        <v>42</v>
      </c>
      <c r="Q33" s="2" t="inlineStr">
        <is>
          <t>preliminary</t>
        </is>
      </c>
      <c r="R33" s="2" t="inlineStr">
        <is>
          <t>cec96b36fe60426ca8b33935a189b01548951b75f594a95a6e47dbaba1af0098</t>
        </is>
      </c>
    </row>
    <row r="34">
      <c r="A34" s="2" t="inlineStr">
        <is>
          <t>BTCUSDT</t>
        </is>
      </c>
      <c r="B34" s="2" t="inlineStr">
        <is>
          <t>1h</t>
        </is>
      </c>
      <c r="C34" s="2" t="inlineStr">
        <is>
          <t>ARIMA</t>
        </is>
      </c>
      <c r="D34" s="2" t="n">
        <v>2627</v>
      </c>
      <c r="E34" s="3" t="n">
        <v>208.9012485733053</v>
      </c>
      <c r="F34" s="3" t="n">
        <v>308.4533528867523</v>
      </c>
      <c r="G34" s="4" t="n">
        <v>0.2971799058483681</v>
      </c>
      <c r="H34" s="5" t="n">
        <v>0.5043776170536733</v>
      </c>
      <c r="I34" s="3" t="n">
        <v>209.0040654739246</v>
      </c>
      <c r="J34" s="3" t="n">
        <v>308.393409021871</v>
      </c>
      <c r="K34" s="4" t="n">
        <v>0.2973559265781384</v>
      </c>
      <c r="L34" s="4">
        <f>(J34-F34)/J34*100</f>
        <v/>
      </c>
      <c r="M34" s="5">
        <f>F34/J34</f>
        <v/>
      </c>
      <c r="N34" s="2">
        <f>COUNTIFS($A$2:$A$37,A34,$B$2:$B$37,B34,$F$2:$F$37,"&lt;"&amp;F34)+1</f>
        <v/>
      </c>
      <c r="O34" s="2" t="inlineStr">
        <is>
          <t>79757fccdda445a59d94b990927d6a8e</t>
        </is>
      </c>
      <c r="P34" s="2" t="n">
        <v>42</v>
      </c>
      <c r="Q34" s="2" t="inlineStr">
        <is>
          <t>preliminary</t>
        </is>
      </c>
      <c r="R34" s="2" t="inlineStr">
        <is>
          <t>aba2e3b7a67ec33f845ce980fad30a013aac326e93bc91324e11b318ad8f9d7b</t>
        </is>
      </c>
    </row>
    <row r="35">
      <c r="A35" s="2" t="inlineStr">
        <is>
          <t>BTCUSDT</t>
        </is>
      </c>
      <c r="B35" s="2" t="inlineStr">
        <is>
          <t>1h</t>
        </is>
      </c>
      <c r="C35" s="2" t="inlineStr">
        <is>
          <t>XGBoost</t>
        </is>
      </c>
      <c r="D35" s="2" t="n">
        <v>2627</v>
      </c>
      <c r="E35" s="3" t="n">
        <v>542.051315664256</v>
      </c>
      <c r="F35" s="3" t="n">
        <v>734.2681132921808</v>
      </c>
      <c r="G35" s="4" t="n">
        <v>0.7442811333868075</v>
      </c>
      <c r="H35" s="5" t="n">
        <v>0.4998096688237533</v>
      </c>
      <c r="I35" s="3" t="n">
        <v>209.0040654739246</v>
      </c>
      <c r="J35" s="3" t="n">
        <v>308.393409021871</v>
      </c>
      <c r="K35" s="4" t="n">
        <v>0.2973559265781384</v>
      </c>
      <c r="L35" s="4">
        <f>(J35-F35)/J35*100</f>
        <v/>
      </c>
      <c r="M35" s="5">
        <f>F35/J35</f>
        <v/>
      </c>
      <c r="N35" s="2">
        <f>COUNTIFS($A$2:$A$37,A35,$B$2:$B$37,B35,$F$2:$F$37,"&lt;"&amp;F35)+1</f>
        <v/>
      </c>
      <c r="O35" s="2" t="inlineStr">
        <is>
          <t>7264425fb3ee45caa3ee93d9dfd53380</t>
        </is>
      </c>
      <c r="P35" s="2" t="n">
        <v>42</v>
      </c>
      <c r="Q35" s="2" t="inlineStr">
        <is>
          <t>preliminary</t>
        </is>
      </c>
      <c r="R35" s="2" t="inlineStr">
        <is>
          <t>aba2e3b7a67ec33f845ce980fad30a013aac326e93bc91324e11b318ad8f9d7b</t>
        </is>
      </c>
    </row>
    <row r="36">
      <c r="A36" s="2" t="inlineStr">
        <is>
          <t>BTCUSDT</t>
        </is>
      </c>
      <c r="B36" s="2" t="inlineStr">
        <is>
          <t>1h</t>
        </is>
      </c>
      <c r="C36" s="2" t="inlineStr">
        <is>
          <t>Random Forest</t>
        </is>
      </c>
      <c r="D36" s="2" t="n">
        <v>2627</v>
      </c>
      <c r="E36" s="3" t="n">
        <v>273.6514797098234</v>
      </c>
      <c r="F36" s="3" t="n">
        <v>376.4043414332934</v>
      </c>
      <c r="G36" s="4" t="n">
        <v>0.3841133472067256</v>
      </c>
      <c r="H36" s="5" t="n">
        <v>0.5085649029311001</v>
      </c>
      <c r="I36" s="3" t="n">
        <v>209.0040654739246</v>
      </c>
      <c r="J36" s="3" t="n">
        <v>308.393409021871</v>
      </c>
      <c r="K36" s="4" t="n">
        <v>0.2973559265781384</v>
      </c>
      <c r="L36" s="4">
        <f>(J36-F36)/J36*100</f>
        <v/>
      </c>
      <c r="M36" s="5">
        <f>F36/J36</f>
        <v/>
      </c>
      <c r="N36" s="2">
        <f>COUNTIFS($A$2:$A$37,A36,$B$2:$B$37,B36,$F$2:$F$37,"&lt;"&amp;F36)+1</f>
        <v/>
      </c>
      <c r="O36" s="2" t="inlineStr">
        <is>
          <t>c12d3dafa5cd44d1b115c4f0c8bcb2d6</t>
        </is>
      </c>
      <c r="P36" s="2" t="n">
        <v>42</v>
      </c>
      <c r="Q36" s="2" t="inlineStr">
        <is>
          <t>preliminary</t>
        </is>
      </c>
      <c r="R36" s="2" t="inlineStr">
        <is>
          <t>aba2e3b7a67ec33f845ce980fad30a013aac326e93bc91324e11b318ad8f9d7b</t>
        </is>
      </c>
    </row>
    <row r="37">
      <c r="A37" s="2" t="inlineStr">
        <is>
          <t>BTCUSDT</t>
        </is>
      </c>
      <c r="B37" s="2" t="inlineStr">
        <is>
          <t>1h</t>
        </is>
      </c>
      <c r="C37" s="2" t="inlineStr">
        <is>
          <t>GRU v2</t>
        </is>
      </c>
      <c r="D37" s="2" t="n">
        <v>2627</v>
      </c>
      <c r="E37" s="3" t="n">
        <v>278.1641749471491</v>
      </c>
      <c r="F37" s="3" t="n">
        <v>373.7477772033299</v>
      </c>
      <c r="G37" s="4" t="n">
        <v>0.4030997260519408</v>
      </c>
      <c r="H37" s="5" t="n">
        <v>0.4979063570612866</v>
      </c>
      <c r="I37" s="3" t="n">
        <v>209.0040654739246</v>
      </c>
      <c r="J37" s="3" t="n">
        <v>308.393409021871</v>
      </c>
      <c r="K37" s="4" t="n">
        <v>0.2973559265781384</v>
      </c>
      <c r="L37" s="4">
        <f>(J37-F37)/J37*100</f>
        <v/>
      </c>
      <c r="M37" s="5">
        <f>F37/J37</f>
        <v/>
      </c>
      <c r="N37" s="2">
        <f>COUNTIFS($A$2:$A$37,A37,$B$2:$B$37,B37,$F$2:$F$37,"&lt;"&amp;F37)+1</f>
        <v/>
      </c>
      <c r="O37" s="2" t="inlineStr">
        <is>
          <t>6d055dcb8df84dc993eb5f821a0f7489</t>
        </is>
      </c>
      <c r="P37" s="2" t="n">
        <v>42</v>
      </c>
      <c r="Q37" s="2" t="inlineStr">
        <is>
          <t>preliminary</t>
        </is>
      </c>
      <c r="R37" s="2" t="inlineStr">
        <is>
          <t>aba2e3b7a67ec33f845ce980fad30a013aac326e93bc91324e11b318ad8f9d7b</t>
        </is>
      </c>
    </row>
  </sheetData>
  <autoFilter ref="A1:R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5" customWidth="1" min="13" max="13"/>
    <col width="11" customWidth="1" min="14" max="14"/>
    <col width="13" customWidth="1" min="15" max="15"/>
    <col width="12" customWidth="1" min="16" max="16"/>
  </cols>
  <sheetData>
    <row r="1">
      <c r="A1" s="6" t="inlineStr">
        <is>
          <t>RMSE của từng mô hình so với baseline Naive (SUMIFS từ sheet 'Ket qua chi tiet')</t>
        </is>
      </c>
    </row>
    <row r="3" ht="30" customHeight="1">
      <c r="A3" s="1" t="inlineStr">
        <is>
          <t>Mã</t>
        </is>
      </c>
      <c r="B3" s="1" t="inlineStr">
        <is>
          <t>Khung</t>
        </is>
      </c>
      <c r="C3" s="1" t="inlineStr">
        <is>
          <t>n test</t>
        </is>
      </c>
      <c r="D3" s="1" t="inlineStr">
        <is>
          <t>Naive RMSE</t>
        </is>
      </c>
      <c r="E3" s="1" t="inlineStr">
        <is>
          <t>RMSE ARIMA</t>
        </is>
      </c>
      <c r="F3" s="1" t="inlineStr">
        <is>
          <t>RMSE XGBoost</t>
        </is>
      </c>
      <c r="G3" s="1" t="inlineStr">
        <is>
          <t>RMSE Random Forest</t>
        </is>
      </c>
      <c r="H3" s="1" t="inlineStr">
        <is>
          <t>RMSE GRU v2</t>
        </is>
      </c>
      <c r="I3" s="1" t="inlineStr">
        <is>
          <t>ARIMA / Naive</t>
        </is>
      </c>
      <c r="J3" s="1" t="inlineStr">
        <is>
          <t>XGBoost / Naive</t>
        </is>
      </c>
      <c r="K3" s="1" t="inlineStr">
        <is>
          <t>Random Forest / Naive</t>
        </is>
      </c>
      <c r="L3" s="1" t="inlineStr">
        <is>
          <t>GRU v2 / Naive</t>
        </is>
      </c>
      <c r="M3" s="1" t="inlineStr">
        <is>
          <t>Mô hình tốt nhất</t>
        </is>
      </c>
      <c r="N3" s="1" t="inlineStr">
        <is>
          <t>RMSE tốt nhất</t>
        </is>
      </c>
      <c r="O3" s="1" t="inlineStr">
        <is>
          <t>Δ tốt nhất vs Naive (%)</t>
        </is>
      </c>
      <c r="P3" s="1" t="inlineStr">
        <is>
          <t>Số mô hình vượt Naive</t>
        </is>
      </c>
    </row>
    <row r="4">
      <c r="A4" s="2" t="inlineStr">
        <is>
          <t>ACB</t>
        </is>
      </c>
      <c r="B4" s="2" t="inlineStr">
        <is>
          <t>1d</t>
        </is>
      </c>
      <c r="C4" s="2">
        <f>SUMIFS('Ket qua chi tiet'!$D$2:$D$37,'Ket qua chi tiet'!$A$2:$A$37,A4,'Ket qua chi tiet'!$B$2:$B$37,B4,'Ket qua chi tiet'!$C$2:$C$37,"ARIMA")</f>
        <v/>
      </c>
      <c r="D4" s="3">
        <f>SUMIFS('Ket qua chi tiet'!$J$2:$J$37,'Ket qua chi tiet'!$A$2:$A$37,A4,'Ket qua chi tiet'!$B$2:$B$37,B4,'Ket qua chi tiet'!$C$2:$C$37,"ARIMA")</f>
        <v/>
      </c>
      <c r="E4" s="3">
        <f>SUMIFS('Ket qua chi tiet'!$F$2:$F$37,'Ket qua chi tiet'!$A$2:$A$37,A4,'Ket qua chi tiet'!$B$2:$B$37,B4,'Ket qua chi tiet'!$C$2:$C$37,"ARIMA")</f>
        <v/>
      </c>
      <c r="F4" s="3">
        <f>SUMIFS('Ket qua chi tiet'!$F$2:$F$37,'Ket qua chi tiet'!$A$2:$A$37,A4,'Ket qua chi tiet'!$B$2:$B$37,B4,'Ket qua chi tiet'!$C$2:$C$37,"XGBoost")</f>
        <v/>
      </c>
      <c r="G4" s="3">
        <f>SUMIFS('Ket qua chi tiet'!$F$2:$F$37,'Ket qua chi tiet'!$A$2:$A$37,A4,'Ket qua chi tiet'!$B$2:$B$37,B4,'Ket qua chi tiet'!$C$2:$C$37,"Random Forest")</f>
        <v/>
      </c>
      <c r="H4" s="3">
        <f>SUMIFS('Ket qua chi tiet'!$F$2:$F$37,'Ket qua chi tiet'!$A$2:$A$37,A4,'Ket qua chi tiet'!$B$2:$B$37,B4,'Ket qua chi tiet'!$C$2:$C$37,"GRU v2")</f>
        <v/>
      </c>
      <c r="I4" s="5">
        <f>E4/$D4</f>
        <v/>
      </c>
      <c r="J4" s="5">
        <f>F4/$D4</f>
        <v/>
      </c>
      <c r="K4" s="5">
        <f>G4/$D4</f>
        <v/>
      </c>
      <c r="L4" s="5">
        <f>H4/$D4</f>
        <v/>
      </c>
      <c r="M4" s="2">
        <f>SUBSTITUTE(INDEX($E$3:$H$3,MATCH(MIN(E4:H4),E4:H4,0)),"RMSE ","")</f>
        <v/>
      </c>
      <c r="N4" s="3">
        <f>MIN(E4:H4)</f>
        <v/>
      </c>
      <c r="O4" s="4">
        <f>(D4-N4)/D4*100</f>
        <v/>
      </c>
      <c r="P4" s="2">
        <f>COUNTIF(I4:L4,"&lt;1")</f>
        <v/>
      </c>
    </row>
    <row r="5">
      <c r="A5" s="2" t="inlineStr">
        <is>
          <t>FPT</t>
        </is>
      </c>
      <c r="B5" s="2" t="inlineStr">
        <is>
          <t>1d</t>
        </is>
      </c>
      <c r="C5" s="2">
        <f>SUMIFS('Ket qua chi tiet'!$D$2:$D$37,'Ket qua chi tiet'!$A$2:$A$37,A5,'Ket qua chi tiet'!$B$2:$B$37,B5,'Ket qua chi tiet'!$C$2:$C$37,"ARIMA")</f>
        <v/>
      </c>
      <c r="D5" s="3">
        <f>SUMIFS('Ket qua chi tiet'!$J$2:$J$37,'Ket qua chi tiet'!$A$2:$A$37,A5,'Ket qua chi tiet'!$B$2:$B$37,B5,'Ket qua chi tiet'!$C$2:$C$37,"ARIMA")</f>
        <v/>
      </c>
      <c r="E5" s="3">
        <f>SUMIFS('Ket qua chi tiet'!$F$2:$F$37,'Ket qua chi tiet'!$A$2:$A$37,A5,'Ket qua chi tiet'!$B$2:$B$37,B5,'Ket qua chi tiet'!$C$2:$C$37,"ARIMA")</f>
        <v/>
      </c>
      <c r="F5" s="3">
        <f>SUMIFS('Ket qua chi tiet'!$F$2:$F$37,'Ket qua chi tiet'!$A$2:$A$37,A5,'Ket qua chi tiet'!$B$2:$B$37,B5,'Ket qua chi tiet'!$C$2:$C$37,"XGBoost")</f>
        <v/>
      </c>
      <c r="G5" s="3">
        <f>SUMIFS('Ket qua chi tiet'!$F$2:$F$37,'Ket qua chi tiet'!$A$2:$A$37,A5,'Ket qua chi tiet'!$B$2:$B$37,B5,'Ket qua chi tiet'!$C$2:$C$37,"Random Forest")</f>
        <v/>
      </c>
      <c r="H5" s="3">
        <f>SUMIFS('Ket qua chi tiet'!$F$2:$F$37,'Ket qua chi tiet'!$A$2:$A$37,A5,'Ket qua chi tiet'!$B$2:$B$37,B5,'Ket qua chi tiet'!$C$2:$C$37,"GRU v2")</f>
        <v/>
      </c>
      <c r="I5" s="5">
        <f>E5/$D5</f>
        <v/>
      </c>
      <c r="J5" s="5">
        <f>F5/$D5</f>
        <v/>
      </c>
      <c r="K5" s="5">
        <f>G5/$D5</f>
        <v/>
      </c>
      <c r="L5" s="5">
        <f>H5/$D5</f>
        <v/>
      </c>
      <c r="M5" s="2">
        <f>SUBSTITUTE(INDEX($E$3:$H$3,MATCH(MIN(E5:H5),E5:H5,0)),"RMSE ","")</f>
        <v/>
      </c>
      <c r="N5" s="3">
        <f>MIN(E5:H5)</f>
        <v/>
      </c>
      <c r="O5" s="4">
        <f>(D5-N5)/D5*100</f>
        <v/>
      </c>
      <c r="P5" s="2">
        <f>COUNTIF(I5:L5,"&lt;1")</f>
        <v/>
      </c>
    </row>
    <row r="6">
      <c r="A6" s="2" t="inlineStr">
        <is>
          <t>HPG</t>
        </is>
      </c>
      <c r="B6" s="2" t="inlineStr">
        <is>
          <t>1d</t>
        </is>
      </c>
      <c r="C6" s="2">
        <f>SUMIFS('Ket qua chi tiet'!$D$2:$D$37,'Ket qua chi tiet'!$A$2:$A$37,A6,'Ket qua chi tiet'!$B$2:$B$37,B6,'Ket qua chi tiet'!$C$2:$C$37,"ARIMA")</f>
        <v/>
      </c>
      <c r="D6" s="3">
        <f>SUMIFS('Ket qua chi tiet'!$J$2:$J$37,'Ket qua chi tiet'!$A$2:$A$37,A6,'Ket qua chi tiet'!$B$2:$B$37,B6,'Ket qua chi tiet'!$C$2:$C$37,"ARIMA")</f>
        <v/>
      </c>
      <c r="E6" s="3">
        <f>SUMIFS('Ket qua chi tiet'!$F$2:$F$37,'Ket qua chi tiet'!$A$2:$A$37,A6,'Ket qua chi tiet'!$B$2:$B$37,B6,'Ket qua chi tiet'!$C$2:$C$37,"ARIMA")</f>
        <v/>
      </c>
      <c r="F6" s="3">
        <f>SUMIFS('Ket qua chi tiet'!$F$2:$F$37,'Ket qua chi tiet'!$A$2:$A$37,A6,'Ket qua chi tiet'!$B$2:$B$37,B6,'Ket qua chi tiet'!$C$2:$C$37,"XGBoost")</f>
        <v/>
      </c>
      <c r="G6" s="3">
        <f>SUMIFS('Ket qua chi tiet'!$F$2:$F$37,'Ket qua chi tiet'!$A$2:$A$37,A6,'Ket qua chi tiet'!$B$2:$B$37,B6,'Ket qua chi tiet'!$C$2:$C$37,"Random Forest")</f>
        <v/>
      </c>
      <c r="H6" s="3">
        <f>SUMIFS('Ket qua chi tiet'!$F$2:$F$37,'Ket qua chi tiet'!$A$2:$A$37,A6,'Ket qua chi tiet'!$B$2:$B$37,B6,'Ket qua chi tiet'!$C$2:$C$37,"GRU v2")</f>
        <v/>
      </c>
      <c r="I6" s="5">
        <f>E6/$D6</f>
        <v/>
      </c>
      <c r="J6" s="5">
        <f>F6/$D6</f>
        <v/>
      </c>
      <c r="K6" s="5">
        <f>G6/$D6</f>
        <v/>
      </c>
      <c r="L6" s="5">
        <f>H6/$D6</f>
        <v/>
      </c>
      <c r="M6" s="2">
        <f>SUBSTITUTE(INDEX($E$3:$H$3,MATCH(MIN(E6:H6),E6:H6,0)),"RMSE ","")</f>
        <v/>
      </c>
      <c r="N6" s="3">
        <f>MIN(E6:H6)</f>
        <v/>
      </c>
      <c r="O6" s="4">
        <f>(D6-N6)/D6*100</f>
        <v/>
      </c>
      <c r="P6" s="2">
        <f>COUNTIF(I6:L6,"&lt;1")</f>
        <v/>
      </c>
    </row>
    <row r="7">
      <c r="A7" s="2" t="inlineStr">
        <is>
          <t>VCB</t>
        </is>
      </c>
      <c r="B7" s="2" t="inlineStr">
        <is>
          <t>1d</t>
        </is>
      </c>
      <c r="C7" s="2">
        <f>SUMIFS('Ket qua chi tiet'!$D$2:$D$37,'Ket qua chi tiet'!$A$2:$A$37,A7,'Ket qua chi tiet'!$B$2:$B$37,B7,'Ket qua chi tiet'!$C$2:$C$37,"ARIMA")</f>
        <v/>
      </c>
      <c r="D7" s="3">
        <f>SUMIFS('Ket qua chi tiet'!$J$2:$J$37,'Ket qua chi tiet'!$A$2:$A$37,A7,'Ket qua chi tiet'!$B$2:$B$37,B7,'Ket qua chi tiet'!$C$2:$C$37,"ARIMA")</f>
        <v/>
      </c>
      <c r="E7" s="3">
        <f>SUMIFS('Ket qua chi tiet'!$F$2:$F$37,'Ket qua chi tiet'!$A$2:$A$37,A7,'Ket qua chi tiet'!$B$2:$B$37,B7,'Ket qua chi tiet'!$C$2:$C$37,"ARIMA")</f>
        <v/>
      </c>
      <c r="F7" s="3">
        <f>SUMIFS('Ket qua chi tiet'!$F$2:$F$37,'Ket qua chi tiet'!$A$2:$A$37,A7,'Ket qua chi tiet'!$B$2:$B$37,B7,'Ket qua chi tiet'!$C$2:$C$37,"XGBoost")</f>
        <v/>
      </c>
      <c r="G7" s="3">
        <f>SUMIFS('Ket qua chi tiet'!$F$2:$F$37,'Ket qua chi tiet'!$A$2:$A$37,A7,'Ket qua chi tiet'!$B$2:$B$37,B7,'Ket qua chi tiet'!$C$2:$C$37,"Random Forest")</f>
        <v/>
      </c>
      <c r="H7" s="3">
        <f>SUMIFS('Ket qua chi tiet'!$F$2:$F$37,'Ket qua chi tiet'!$A$2:$A$37,A7,'Ket qua chi tiet'!$B$2:$B$37,B7,'Ket qua chi tiet'!$C$2:$C$37,"GRU v2")</f>
        <v/>
      </c>
      <c r="I7" s="5">
        <f>E7/$D7</f>
        <v/>
      </c>
      <c r="J7" s="5">
        <f>F7/$D7</f>
        <v/>
      </c>
      <c r="K7" s="5">
        <f>G7/$D7</f>
        <v/>
      </c>
      <c r="L7" s="5">
        <f>H7/$D7</f>
        <v/>
      </c>
      <c r="M7" s="2">
        <f>SUBSTITUTE(INDEX($E$3:$H$3,MATCH(MIN(E7:H7),E7:H7,0)),"RMSE ","")</f>
        <v/>
      </c>
      <c r="N7" s="3">
        <f>MIN(E7:H7)</f>
        <v/>
      </c>
      <c r="O7" s="4">
        <f>(D7-N7)/D7*100</f>
        <v/>
      </c>
      <c r="P7" s="2">
        <f>COUNTIF(I7:L7,"&lt;1")</f>
        <v/>
      </c>
    </row>
    <row r="8">
      <c r="A8" s="2" t="inlineStr">
        <is>
          <t>VNM</t>
        </is>
      </c>
      <c r="B8" s="2" t="inlineStr">
        <is>
          <t>1d</t>
        </is>
      </c>
      <c r="C8" s="2">
        <f>SUMIFS('Ket qua chi tiet'!$D$2:$D$37,'Ket qua chi tiet'!$A$2:$A$37,A8,'Ket qua chi tiet'!$B$2:$B$37,B8,'Ket qua chi tiet'!$C$2:$C$37,"ARIMA")</f>
        <v/>
      </c>
      <c r="D8" s="3">
        <f>SUMIFS('Ket qua chi tiet'!$J$2:$J$37,'Ket qua chi tiet'!$A$2:$A$37,A8,'Ket qua chi tiet'!$B$2:$B$37,B8,'Ket qua chi tiet'!$C$2:$C$37,"ARIMA")</f>
        <v/>
      </c>
      <c r="E8" s="3">
        <f>SUMIFS('Ket qua chi tiet'!$F$2:$F$37,'Ket qua chi tiet'!$A$2:$A$37,A8,'Ket qua chi tiet'!$B$2:$B$37,B8,'Ket qua chi tiet'!$C$2:$C$37,"ARIMA")</f>
        <v/>
      </c>
      <c r="F8" s="3">
        <f>SUMIFS('Ket qua chi tiet'!$F$2:$F$37,'Ket qua chi tiet'!$A$2:$A$37,A8,'Ket qua chi tiet'!$B$2:$B$37,B8,'Ket qua chi tiet'!$C$2:$C$37,"XGBoost")</f>
        <v/>
      </c>
      <c r="G8" s="3">
        <f>SUMIFS('Ket qua chi tiet'!$F$2:$F$37,'Ket qua chi tiet'!$A$2:$A$37,A8,'Ket qua chi tiet'!$B$2:$B$37,B8,'Ket qua chi tiet'!$C$2:$C$37,"Random Forest")</f>
        <v/>
      </c>
      <c r="H8" s="3">
        <f>SUMIFS('Ket qua chi tiet'!$F$2:$F$37,'Ket qua chi tiet'!$A$2:$A$37,A8,'Ket qua chi tiet'!$B$2:$B$37,B8,'Ket qua chi tiet'!$C$2:$C$37,"GRU v2")</f>
        <v/>
      </c>
      <c r="I8" s="5">
        <f>E8/$D8</f>
        <v/>
      </c>
      <c r="J8" s="5">
        <f>F8/$D8</f>
        <v/>
      </c>
      <c r="K8" s="5">
        <f>G8/$D8</f>
        <v/>
      </c>
      <c r="L8" s="5">
        <f>H8/$D8</f>
        <v/>
      </c>
      <c r="M8" s="2">
        <f>SUBSTITUTE(INDEX($E$3:$H$3,MATCH(MIN(E8:H8),E8:H8,0)),"RMSE ","")</f>
        <v/>
      </c>
      <c r="N8" s="3">
        <f>MIN(E8:H8)</f>
        <v/>
      </c>
      <c r="O8" s="4">
        <f>(D8-N8)/D8*100</f>
        <v/>
      </c>
      <c r="P8" s="2">
        <f>COUNTIF(I8:L8,"&lt;1")</f>
        <v/>
      </c>
    </row>
    <row r="9">
      <c r="A9" s="2" t="inlineStr">
        <is>
          <t>BTCUSDT</t>
        </is>
      </c>
      <c r="B9" s="2" t="inlineStr">
        <is>
          <t>1d</t>
        </is>
      </c>
      <c r="C9" s="2">
        <f>SUMIFS('Ket qua chi tiet'!$D$2:$D$37,'Ket qua chi tiet'!$A$2:$A$37,A9,'Ket qua chi tiet'!$B$2:$B$37,B9,'Ket qua chi tiet'!$C$2:$C$37,"ARIMA")</f>
        <v/>
      </c>
      <c r="D9" s="3">
        <f>SUMIFS('Ket qua chi tiet'!$J$2:$J$37,'Ket qua chi tiet'!$A$2:$A$37,A9,'Ket qua chi tiet'!$B$2:$B$37,B9,'Ket qua chi tiet'!$C$2:$C$37,"ARIMA")</f>
        <v/>
      </c>
      <c r="E9" s="3">
        <f>SUMIFS('Ket qua chi tiet'!$F$2:$F$37,'Ket qua chi tiet'!$A$2:$A$37,A9,'Ket qua chi tiet'!$B$2:$B$37,B9,'Ket qua chi tiet'!$C$2:$C$37,"ARIMA")</f>
        <v/>
      </c>
      <c r="F9" s="3">
        <f>SUMIFS('Ket qua chi tiet'!$F$2:$F$37,'Ket qua chi tiet'!$A$2:$A$37,A9,'Ket qua chi tiet'!$B$2:$B$37,B9,'Ket qua chi tiet'!$C$2:$C$37,"XGBoost")</f>
        <v/>
      </c>
      <c r="G9" s="3">
        <f>SUMIFS('Ket qua chi tiet'!$F$2:$F$37,'Ket qua chi tiet'!$A$2:$A$37,A9,'Ket qua chi tiet'!$B$2:$B$37,B9,'Ket qua chi tiet'!$C$2:$C$37,"Random Forest")</f>
        <v/>
      </c>
      <c r="H9" s="3">
        <f>SUMIFS('Ket qua chi tiet'!$F$2:$F$37,'Ket qua chi tiet'!$A$2:$A$37,A9,'Ket qua chi tiet'!$B$2:$B$37,B9,'Ket qua chi tiet'!$C$2:$C$37,"GRU v2")</f>
        <v/>
      </c>
      <c r="I9" s="5">
        <f>E9/$D9</f>
        <v/>
      </c>
      <c r="J9" s="5">
        <f>F9/$D9</f>
        <v/>
      </c>
      <c r="K9" s="5">
        <f>G9/$D9</f>
        <v/>
      </c>
      <c r="L9" s="5">
        <f>H9/$D9</f>
        <v/>
      </c>
      <c r="M9" s="2">
        <f>SUBSTITUTE(INDEX($E$3:$H$3,MATCH(MIN(E9:H9),E9:H9,0)),"RMSE ","")</f>
        <v/>
      </c>
      <c r="N9" s="3">
        <f>MIN(E9:H9)</f>
        <v/>
      </c>
      <c r="O9" s="4">
        <f>(D9-N9)/D9*100</f>
        <v/>
      </c>
      <c r="P9" s="2">
        <f>COUNTIF(I9:L9,"&lt;1")</f>
        <v/>
      </c>
    </row>
    <row r="10">
      <c r="A10" s="2" t="inlineStr">
        <is>
          <t>ETHUSDT</t>
        </is>
      </c>
      <c r="B10" s="2" t="inlineStr">
        <is>
          <t>1d</t>
        </is>
      </c>
      <c r="C10" s="2">
        <f>SUMIFS('Ket qua chi tiet'!$D$2:$D$37,'Ket qua chi tiet'!$A$2:$A$37,A10,'Ket qua chi tiet'!$B$2:$B$37,B10,'Ket qua chi tiet'!$C$2:$C$37,"ARIMA")</f>
        <v/>
      </c>
      <c r="D10" s="3">
        <f>SUMIFS('Ket qua chi tiet'!$J$2:$J$37,'Ket qua chi tiet'!$A$2:$A$37,A10,'Ket qua chi tiet'!$B$2:$B$37,B10,'Ket qua chi tiet'!$C$2:$C$37,"ARIMA")</f>
        <v/>
      </c>
      <c r="E10" s="3">
        <f>SUMIFS('Ket qua chi tiet'!$F$2:$F$37,'Ket qua chi tiet'!$A$2:$A$37,A10,'Ket qua chi tiet'!$B$2:$B$37,B10,'Ket qua chi tiet'!$C$2:$C$37,"ARIMA")</f>
        <v/>
      </c>
      <c r="F10" s="3">
        <f>SUMIFS('Ket qua chi tiet'!$F$2:$F$37,'Ket qua chi tiet'!$A$2:$A$37,A10,'Ket qua chi tiet'!$B$2:$B$37,B10,'Ket qua chi tiet'!$C$2:$C$37,"XGBoost")</f>
        <v/>
      </c>
      <c r="G10" s="3">
        <f>SUMIFS('Ket qua chi tiet'!$F$2:$F$37,'Ket qua chi tiet'!$A$2:$A$37,A10,'Ket qua chi tiet'!$B$2:$B$37,B10,'Ket qua chi tiet'!$C$2:$C$37,"Random Forest")</f>
        <v/>
      </c>
      <c r="H10" s="3">
        <f>SUMIFS('Ket qua chi tiet'!$F$2:$F$37,'Ket qua chi tiet'!$A$2:$A$37,A10,'Ket qua chi tiet'!$B$2:$B$37,B10,'Ket qua chi tiet'!$C$2:$C$37,"GRU v2")</f>
        <v/>
      </c>
      <c r="I10" s="5">
        <f>E10/$D10</f>
        <v/>
      </c>
      <c r="J10" s="5">
        <f>F10/$D10</f>
        <v/>
      </c>
      <c r="K10" s="5">
        <f>G10/$D10</f>
        <v/>
      </c>
      <c r="L10" s="5">
        <f>H10/$D10</f>
        <v/>
      </c>
      <c r="M10" s="2">
        <f>SUBSTITUTE(INDEX($E$3:$H$3,MATCH(MIN(E10:H10),E10:H10,0)),"RMSE ","")</f>
        <v/>
      </c>
      <c r="N10" s="3">
        <f>MIN(E10:H10)</f>
        <v/>
      </c>
      <c r="O10" s="4">
        <f>(D10-N10)/D10*100</f>
        <v/>
      </c>
      <c r="P10" s="2">
        <f>COUNTIF(I10:L10,"&lt;1")</f>
        <v/>
      </c>
    </row>
    <row r="11">
      <c r="A11" s="2" t="inlineStr">
        <is>
          <t>SOLUSDT</t>
        </is>
      </c>
      <c r="B11" s="2" t="inlineStr">
        <is>
          <t>1d</t>
        </is>
      </c>
      <c r="C11" s="2">
        <f>SUMIFS('Ket qua chi tiet'!$D$2:$D$37,'Ket qua chi tiet'!$A$2:$A$37,A11,'Ket qua chi tiet'!$B$2:$B$37,B11,'Ket qua chi tiet'!$C$2:$C$37,"ARIMA")</f>
        <v/>
      </c>
      <c r="D11" s="3">
        <f>SUMIFS('Ket qua chi tiet'!$J$2:$J$37,'Ket qua chi tiet'!$A$2:$A$37,A11,'Ket qua chi tiet'!$B$2:$B$37,B11,'Ket qua chi tiet'!$C$2:$C$37,"ARIMA")</f>
        <v/>
      </c>
      <c r="E11" s="3">
        <f>SUMIFS('Ket qua chi tiet'!$F$2:$F$37,'Ket qua chi tiet'!$A$2:$A$37,A11,'Ket qua chi tiet'!$B$2:$B$37,B11,'Ket qua chi tiet'!$C$2:$C$37,"ARIMA")</f>
        <v/>
      </c>
      <c r="F11" s="3">
        <f>SUMIFS('Ket qua chi tiet'!$F$2:$F$37,'Ket qua chi tiet'!$A$2:$A$37,A11,'Ket qua chi tiet'!$B$2:$B$37,B11,'Ket qua chi tiet'!$C$2:$C$37,"XGBoost")</f>
        <v/>
      </c>
      <c r="G11" s="3">
        <f>SUMIFS('Ket qua chi tiet'!$F$2:$F$37,'Ket qua chi tiet'!$A$2:$A$37,A11,'Ket qua chi tiet'!$B$2:$B$37,B11,'Ket qua chi tiet'!$C$2:$C$37,"Random Forest")</f>
        <v/>
      </c>
      <c r="H11" s="3">
        <f>SUMIFS('Ket qua chi tiet'!$F$2:$F$37,'Ket qua chi tiet'!$A$2:$A$37,A11,'Ket qua chi tiet'!$B$2:$B$37,B11,'Ket qua chi tiet'!$C$2:$C$37,"GRU v2")</f>
        <v/>
      </c>
      <c r="I11" s="5">
        <f>E11/$D11</f>
        <v/>
      </c>
      <c r="J11" s="5">
        <f>F11/$D11</f>
        <v/>
      </c>
      <c r="K11" s="5">
        <f>G11/$D11</f>
        <v/>
      </c>
      <c r="L11" s="5">
        <f>H11/$D11</f>
        <v/>
      </c>
      <c r="M11" s="2">
        <f>SUBSTITUTE(INDEX($E$3:$H$3,MATCH(MIN(E11:H11),E11:H11,0)),"RMSE ","")</f>
        <v/>
      </c>
      <c r="N11" s="3">
        <f>MIN(E11:H11)</f>
        <v/>
      </c>
      <c r="O11" s="4">
        <f>(D11-N11)/D11*100</f>
        <v/>
      </c>
      <c r="P11" s="2">
        <f>COUNTIF(I11:L11,"&lt;1")</f>
        <v/>
      </c>
    </row>
    <row r="12">
      <c r="A12" s="2" t="inlineStr">
        <is>
          <t>BTCUSDT</t>
        </is>
      </c>
      <c r="B12" s="2" t="inlineStr">
        <is>
          <t>1h</t>
        </is>
      </c>
      <c r="C12" s="2">
        <f>SUMIFS('Ket qua chi tiet'!$D$2:$D$37,'Ket qua chi tiet'!$A$2:$A$37,A12,'Ket qua chi tiet'!$B$2:$B$37,B12,'Ket qua chi tiet'!$C$2:$C$37,"ARIMA")</f>
        <v/>
      </c>
      <c r="D12" s="3">
        <f>SUMIFS('Ket qua chi tiet'!$J$2:$J$37,'Ket qua chi tiet'!$A$2:$A$37,A12,'Ket qua chi tiet'!$B$2:$B$37,B12,'Ket qua chi tiet'!$C$2:$C$37,"ARIMA")</f>
        <v/>
      </c>
      <c r="E12" s="3">
        <f>SUMIFS('Ket qua chi tiet'!$F$2:$F$37,'Ket qua chi tiet'!$A$2:$A$37,A12,'Ket qua chi tiet'!$B$2:$B$37,B12,'Ket qua chi tiet'!$C$2:$C$37,"ARIMA")</f>
        <v/>
      </c>
      <c r="F12" s="3">
        <f>SUMIFS('Ket qua chi tiet'!$F$2:$F$37,'Ket qua chi tiet'!$A$2:$A$37,A12,'Ket qua chi tiet'!$B$2:$B$37,B12,'Ket qua chi tiet'!$C$2:$C$37,"XGBoost")</f>
        <v/>
      </c>
      <c r="G12" s="3">
        <f>SUMIFS('Ket qua chi tiet'!$F$2:$F$37,'Ket qua chi tiet'!$A$2:$A$37,A12,'Ket qua chi tiet'!$B$2:$B$37,B12,'Ket qua chi tiet'!$C$2:$C$37,"Random Forest")</f>
        <v/>
      </c>
      <c r="H12" s="3">
        <f>SUMIFS('Ket qua chi tiet'!$F$2:$F$37,'Ket qua chi tiet'!$A$2:$A$37,A12,'Ket qua chi tiet'!$B$2:$B$37,B12,'Ket qua chi tiet'!$C$2:$C$37,"GRU v2")</f>
        <v/>
      </c>
      <c r="I12" s="5">
        <f>E12/$D12</f>
        <v/>
      </c>
      <c r="J12" s="5">
        <f>F12/$D12</f>
        <v/>
      </c>
      <c r="K12" s="5">
        <f>G12/$D12</f>
        <v/>
      </c>
      <c r="L12" s="5">
        <f>H12/$D12</f>
        <v/>
      </c>
      <c r="M12" s="2">
        <f>SUBSTITUTE(INDEX($E$3:$H$3,MATCH(MIN(E12:H12),E12:H12,0)),"RMSE ","")</f>
        <v/>
      </c>
      <c r="N12" s="3">
        <f>MIN(E12:H12)</f>
        <v/>
      </c>
      <c r="O12" s="4">
        <f>(D12-N12)/D12*100</f>
        <v/>
      </c>
      <c r="P12" s="2">
        <f>COUNTIF(I12:L12,"&lt;1")</f>
        <v/>
      </c>
    </row>
    <row r="13">
      <c r="E13" s="7" t="inlineStr">
        <is>
          <t>ARIMA</t>
        </is>
      </c>
      <c r="F13" s="7" t="inlineStr">
        <is>
          <t>XGBoost</t>
        </is>
      </c>
      <c r="G13" s="7" t="inlineStr">
        <is>
          <t>Random Forest</t>
        </is>
      </c>
      <c r="H13" s="7" t="inlineStr">
        <is>
          <t>GRU v2</t>
        </is>
      </c>
    </row>
    <row r="14">
      <c r="A14" s="7" t="inlineStr">
        <is>
          <t>Số lần đứng đầu</t>
        </is>
      </c>
      <c r="E14">
        <f>COUNTIF($M$4:$M$12,"ARIMA")</f>
        <v/>
      </c>
      <c r="F14">
        <f>COUNTIF($M$4:$M$12,"XGBoost")</f>
        <v/>
      </c>
      <c r="G14">
        <f>COUNTIF($M$4:$M$12,"Random Forest")</f>
        <v/>
      </c>
      <c r="H14">
        <f>COUNTIF($M$4:$M$12,"GRU v2")</f>
        <v/>
      </c>
    </row>
    <row r="15">
      <c r="A15" s="7" t="inlineStr">
        <is>
          <t>Số lần vượt Naive</t>
        </is>
      </c>
      <c r="E15">
        <f>COUNTIF(I4:I12,"&lt;1")</f>
        <v/>
      </c>
      <c r="F15">
        <f>COUNTIF(J4:J12,"&lt;1")</f>
        <v/>
      </c>
      <c r="G15">
        <f>COUNTIF(K4:K12,"&lt;1")</f>
        <v/>
      </c>
      <c r="H15">
        <f>COUNTIF(L4:L12,"&lt;1")</f>
        <v/>
      </c>
    </row>
  </sheetData>
  <conditionalFormatting sqref="I4:L12">
    <cfRule type="cellIs" priority="1" operator="lessThan" dxfId="0">
      <formula>1</formula>
    </cfRule>
    <cfRule type="cellIs" priority="2" operator="greaterThanOrEqual" dxfId="1">
      <formula>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12" customWidth="1" min="5" max="5"/>
    <col width="13" customWidth="1" min="6" max="6"/>
    <col width="11" customWidth="1" min="7" max="7"/>
    <col width="12" customWidth="1" min="8" max="8"/>
    <col width="10" customWidth="1" min="9" max="9"/>
    <col width="12" customWidth="1" min="10" max="10"/>
    <col width="50" customWidth="1" min="11" max="11"/>
  </cols>
  <sheetData>
    <row r="1">
      <c r="A1" s="6" t="inlineStr">
        <is>
          <t>Benchmark chính thức ACB 1d: evaluator 23/07/2026 (docs/evidence/ACB_1d) so với chạy lại 16/09/2026</t>
        </is>
      </c>
    </row>
    <row r="3" ht="30" customHeight="1">
      <c r="A3" s="1" t="inlineStr">
        <is>
          <t>Mô hình</t>
        </is>
      </c>
      <c r="B3" s="1" t="inlineStr">
        <is>
          <t>RMSE 07/2026</t>
        </is>
      </c>
      <c r="C3" s="1" t="inlineStr">
        <is>
          <t>RMSE 16/09/2026</t>
        </is>
      </c>
      <c r="D3" s="1" t="inlineStr">
        <is>
          <t>Chênh lệch RMSE</t>
        </is>
      </c>
      <c r="E3" s="1" t="inlineStr">
        <is>
          <t>MAE 07/2026</t>
        </is>
      </c>
      <c r="F3" s="1" t="inlineStr">
        <is>
          <t>MAE 16/09/2026</t>
        </is>
      </c>
      <c r="G3" s="1" t="inlineStr">
        <is>
          <t>DA 07/2026</t>
        </is>
      </c>
      <c r="H3" s="1" t="inlineStr">
        <is>
          <t>DA 16/09/2026</t>
        </is>
      </c>
      <c r="I3" s="1" t="inlineStr">
        <is>
          <t>Hạng 07/2026</t>
        </is>
      </c>
      <c r="J3" s="1" t="inlineStr">
        <is>
          <t>Hạng 16/09/2026</t>
        </is>
      </c>
      <c r="K3" s="1" t="inlineStr">
        <is>
          <t>Ghi chú</t>
        </is>
      </c>
    </row>
    <row r="4">
      <c r="A4" s="2" t="inlineStr">
        <is>
          <t>ARIMA</t>
        </is>
      </c>
      <c r="B4" s="8" t="n">
        <v>0.3882019113976774</v>
      </c>
      <c r="C4" s="8">
        <f>SUMIFS('Ket qua chi tiet'!$F$2:$F$37,'Ket qua chi tiet'!$A$2:$A$37,"ACB",'Ket qua chi tiet'!$B$2:$B$37,"1d",'Ket qua chi tiet'!$C$2:$C$37,"ARIMA")</f>
        <v/>
      </c>
      <c r="D4" s="9">
        <f>C4-B4</f>
        <v/>
      </c>
      <c r="E4" s="8" t="n">
        <v>0.2723486963730756</v>
      </c>
      <c r="F4" s="8">
        <f>SUMIFS('Ket qua chi tiet'!$E$2:$E$37,'Ket qua chi tiet'!$A$2:$A$37,"ACB",'Ket qua chi tiet'!$B$2:$B$37,"1d",'Ket qua chi tiet'!$C$2:$C$37,"ARIMA")</f>
        <v/>
      </c>
      <c r="G4" s="5" t="n">
        <v>0.5128205128205128</v>
      </c>
      <c r="H4" s="5">
        <f>SUMIFS('Ket qua chi tiet'!$H$2:$H$37,'Ket qua chi tiet'!$A$2:$A$37,"ACB",'Ket qua chi tiet'!$B$2:$B$37,"1d",'Ket qua chi tiet'!$C$2:$C$37,"ARIMA")</f>
        <v/>
      </c>
      <c r="I4" s="2" t="n">
        <v>1</v>
      </c>
      <c r="J4" s="2">
        <f>RANK(C4,$C$4:$C$7,1)</f>
        <v/>
      </c>
      <c r="K4" s="2" t="inlineStr">
        <is>
          <t>Tái lập đúng — cùng commit pipeline</t>
        </is>
      </c>
    </row>
    <row r="5">
      <c r="A5" s="2" t="inlineStr">
        <is>
          <t>XGBoost</t>
        </is>
      </c>
      <c r="B5" s="8" t="n">
        <v>0.6483500635961559</v>
      </c>
      <c r="C5" s="8">
        <f>SUMIFS('Ket qua chi tiet'!$F$2:$F$37,'Ket qua chi tiet'!$A$2:$A$37,"ACB",'Ket qua chi tiet'!$B$2:$B$37,"1d",'Ket qua chi tiet'!$C$2:$C$37,"XGBoost")</f>
        <v/>
      </c>
      <c r="D5" s="9">
        <f>C5-B5</f>
        <v/>
      </c>
      <c r="E5" s="8" t="n">
        <v>0.4826200367854188</v>
      </c>
      <c r="F5" s="8">
        <f>SUMIFS('Ket qua chi tiet'!$E$2:$E$37,'Ket qua chi tiet'!$A$2:$A$37,"ACB",'Ket qua chi tiet'!$B$2:$B$37,"1d",'Ket qua chi tiet'!$C$2:$C$37,"XGBoost")</f>
        <v/>
      </c>
      <c r="G5" s="5" t="n">
        <v>0.4871794871794872</v>
      </c>
      <c r="H5" s="5">
        <f>SUMIFS('Ket qua chi tiet'!$H$2:$H$37,'Ket qua chi tiet'!$A$2:$A$37,"ACB",'Ket qua chi tiet'!$B$2:$B$37,"1d",'Ket qua chi tiet'!$C$2:$C$37,"XGBoost")</f>
        <v/>
      </c>
      <c r="I5" s="2" t="n">
        <v>3</v>
      </c>
      <c r="J5" s="2">
        <f>RANK(C5,$C$4:$C$7,1)</f>
        <v/>
      </c>
      <c r="K5" s="2" t="inlineStr">
        <is>
          <t>Tái lập đúng — chênh lệch chỉ do số thực (&lt; 1e-15)</t>
        </is>
      </c>
    </row>
    <row r="6">
      <c r="A6" s="2" t="inlineStr">
        <is>
          <t>Random Forest</t>
        </is>
      </c>
      <c r="B6" s="8" t="n">
        <v>0.6368350104288949</v>
      </c>
      <c r="C6" s="8">
        <f>SUMIFS('Ket qua chi tiet'!$F$2:$F$37,'Ket qua chi tiet'!$A$2:$A$37,"ACB",'Ket qua chi tiet'!$B$2:$B$37,"1d",'Ket qua chi tiet'!$C$2:$C$37,"Random Forest")</f>
        <v/>
      </c>
      <c r="D6" s="9">
        <f>C6-B6</f>
        <v/>
      </c>
      <c r="E6" s="8" t="n">
        <v>0.5256917774782239</v>
      </c>
      <c r="F6" s="8">
        <f>SUMIFS('Ket qua chi tiet'!$E$2:$E$37,'Ket qua chi tiet'!$A$2:$A$37,"ACB",'Ket qua chi tiet'!$B$2:$B$37,"1d",'Ket qua chi tiet'!$C$2:$C$37,"Random Forest")</f>
        <v/>
      </c>
      <c r="G6" s="5" t="n">
        <v>0.3846153846153846</v>
      </c>
      <c r="H6" s="5">
        <f>SUMIFS('Ket qua chi tiet'!$H$2:$H$37,'Ket qua chi tiet'!$A$2:$A$37,"ACB",'Ket qua chi tiet'!$B$2:$B$37,"1d",'Ket qua chi tiet'!$C$2:$C$37,"Random Forest")</f>
        <v/>
      </c>
      <c r="I6" s="2" t="n">
        <v>2</v>
      </c>
      <c r="J6" s="2">
        <f>RANK(C6,$C$4:$C$7,1)</f>
        <v/>
      </c>
      <c r="K6" s="2" t="inlineStr">
        <is>
          <t>Tái lập đúng — chênh lệch chỉ do số thực (&lt; 1e-12)</t>
        </is>
      </c>
    </row>
    <row r="7">
      <c r="A7" s="2" t="inlineStr">
        <is>
          <t>GRU v2</t>
        </is>
      </c>
      <c r="B7" s="8" t="n">
        <v>0.7360494889815756</v>
      </c>
      <c r="C7" s="8">
        <f>SUMIFS('Ket qua chi tiet'!$F$2:$F$37,'Ket qua chi tiet'!$A$2:$A$37,"ACB",'Ket qua chi tiet'!$B$2:$B$37,"1d",'Ket qua chi tiet'!$C$2:$C$37,"GRU v2")</f>
        <v/>
      </c>
      <c r="D7" s="9">
        <f>C7-B7</f>
        <v/>
      </c>
      <c r="E7" s="8" t="n">
        <v>0.5393094254762704</v>
      </c>
      <c r="F7" s="8">
        <f>SUMIFS('Ket qua chi tiet'!$E$2:$E$37,'Ket qua chi tiet'!$A$2:$A$37,"ACB",'Ket qua chi tiet'!$B$2:$B$37,"1d",'Ket qua chi tiet'!$C$2:$C$37,"GRU v2")</f>
        <v/>
      </c>
      <c r="G7" s="5" t="n">
        <v>0.4743589743589743</v>
      </c>
      <c r="H7" s="5">
        <f>SUMIFS('Ket qua chi tiet'!$H$2:$H$37,'Ket qua chi tiet'!$A$2:$A$37,"ACB",'Ket qua chi tiet'!$B$2:$B$37,"1d",'Ket qua chi tiet'!$C$2:$C$37,"GRU v2")</f>
        <v/>
      </c>
      <c r="I7" s="2" t="n">
        <v>4</v>
      </c>
      <c r="J7" s="2">
        <f>RANK(C7,$C$4:$C$7,1)</f>
        <v/>
      </c>
      <c r="K7" s="2" t="inlineStr">
        <is>
          <t>GRU v2 (PR #43): residual head, 8 feature, seq 7 — kiến trúc khác tháng 7</t>
        </is>
      </c>
    </row>
    <row r="8">
      <c r="A8" s="10" t="inlineStr">
        <is>
          <t>Naive</t>
        </is>
      </c>
      <c r="B8" s="8" t="n">
        <v>0.3902169022085419</v>
      </c>
      <c r="C8" s="8">
        <f>SUMIFS('Ket qua chi tiet'!$J$2:$J$37,'Ket qua chi tiet'!$A$2:$A$37,"ACB",'Ket qua chi tiet'!$B$2:$B$37,"1d",'Ket qua chi tiet'!$C$2:$C$37,"ARIMA")</f>
        <v/>
      </c>
      <c r="D8" s="2" t="n"/>
      <c r="E8" s="8" t="n">
        <v>0.2669230769230771</v>
      </c>
      <c r="F8" s="2" t="n"/>
      <c r="G8" s="2" t="n"/>
      <c r="H8" s="2" t="n"/>
      <c r="I8" s="2" t="n"/>
      <c r="J8" s="2" t="n"/>
      <c r="K8" s="2" t="inlineStr">
        <is>
          <t>Baseline predicted_close = current_close; nguồn tháng 7: docs/evidence/ACB_1d/benchmark_overview.csv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7" t="inlineStr">
        <is>
          <t>Nguồn dữ liệu</t>
        </is>
      </c>
      <c r="B1" s="11" t="inlineStr">
        <is>
          <t>artifacts/metrics/&lt;model&gt;/&lt;SYMBOL&gt;_&lt;tf&gt;_&lt;run_id&gt;.csv do từng entrypoint train_*.py sinh ra ngày 16/09/2026; tổng hợp bằng script trong phiên demo.</t>
        </is>
      </c>
    </row>
    <row r="2">
      <c r="A2" s="7" t="inlineStr">
        <is>
          <t>Dataset</t>
        </is>
      </c>
      <c r="B2" s="11" t="inlineStr">
        <is>
          <t>group_dataset_v1, snapshot ohlcv_full_current (fingerprint 381cd2ee…d6d2), target next_close, horizon 1, split 70/15/15 theo thời gian, seed 42.</t>
        </is>
      </c>
    </row>
    <row r="3">
      <c r="A3" s="7" t="inlineStr">
        <is>
          <t>Mã nguồn</t>
        </is>
      </c>
      <c r="B3" s="11" t="inlineStr">
        <is>
          <t>github.com/Ennela/NCKH-CryptographicAnalysis, nhánh develop, commit cc4ab56 tại thời điểm train (PR #44/#45 merge sau đó không đổi pipeline train).</t>
        </is>
      </c>
    </row>
    <row r="4">
      <c r="A4" s="7" t="inlineStr">
        <is>
          <t>Δ RMSE vs Naive (%)</t>
        </is>
      </c>
      <c r="B4" s="11" t="inlineStr">
        <is>
          <t>Công thức: (RMSE_naive − RMSE_model) / RMSE_naive × 100. Dương = tốt hơn Naive.</t>
        </is>
      </c>
    </row>
    <row r="5">
      <c r="A5" s="7" t="inlineStr">
        <is>
          <t>RMSE / Naive RMSE</t>
        </is>
      </c>
      <c r="B5" s="11" t="inlineStr">
        <is>
          <t>&lt; 1 = tốt hơn Naive (tô xanh); ≥ 2 = kém hơn Naive ít nhất 2 lần (tô đỏ).</t>
        </is>
      </c>
    </row>
    <row r="6">
      <c r="A6" s="7" t="inlineStr">
        <is>
          <t>Directional Accuracy</t>
        </is>
      </c>
      <c r="B6" s="11" t="inlineStr">
        <is>
          <t>Tỷ lệ [0,1] dự đoán đúng hướng sign(pred − current) so với sign(actual − current); của Naive luôn là hằng số nên không liệt kê.</t>
        </is>
      </c>
    </row>
    <row r="7">
      <c r="A7" s="7" t="inlineStr">
        <is>
          <t>Trạng thái</t>
        </is>
      </c>
      <c r="B7" s="11" t="inlineStr">
        <is>
          <t>ACB 1d: 'valid' theo evaluator services.training.benchmark (run 5a75b56742ac4ba7861ce27a9c3431ed). Các mã khác: 'preliminary' vì evaluator hiện khóa cứng ACB 1d; manifest hash của 4 mô hình trên mỗi mã đã được kiểm tra trùng nhau.</t>
        </is>
      </c>
    </row>
    <row r="8">
      <c r="A8" s="7" t="inlineStr">
        <is>
          <t>Kết quả tháng 7</t>
        </is>
      </c>
      <c r="B8" s="11" t="inlineStr">
        <is>
          <t>Sheet 'ACB 1d vs 07-2026' cột 07/2026 lấy từ docs/evidence/ACB_1d/benchmark_overview.csv (evaluator 23/07/2026).</t>
        </is>
      </c>
    </row>
    <row r="9">
      <c r="A9" s="7" t="inlineStr">
        <is>
          <t>Ô công thức</t>
        </is>
      </c>
      <c r="B9" s="11" t="inlineStr">
        <is>
          <t>Các cột Δ, tỷ số, xếp hạng và toàn bộ sheet tổng hợp là công thức tham chiếu sheet 'Ket qua chi tiet'; sửa số liệu ở đó thì các sheet khác tự cập nhật.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2026-09-16T17:56:38Z</dcterms:created>
  <dcterms:modified xmlns:dcterms="http://purl.org/dc/terms/" xmlns:xsi="http://www.w3.org/2001/XMLSchema-instance" xsi:type="dcterms:W3CDTF">2026-09-16T17:56:38Z</dcterms:modified>
</cp:coreProperties>
</file>